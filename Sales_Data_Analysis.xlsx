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kash\Desktop\project\Sales data analysis project (resume )\"/>
    </mc:Choice>
  </mc:AlternateContent>
  <xr:revisionPtr revIDLastSave="0" documentId="13_ncr:1_{847870AC-CD42-4B57-B78C-B47D53DEEBE8}" xr6:coauthVersionLast="47" xr6:coauthVersionMax="47" xr10:uidLastSave="{00000000-0000-0000-0000-000000000000}"/>
  <bookViews>
    <workbookView xWindow="-108" yWindow="-108" windowWidth="23256" windowHeight="12456" activeTab="3" xr2:uid="{BB5E55A6-FC5E-43F3-B75F-2A1BBEE29474}"/>
  </bookViews>
  <sheets>
    <sheet name="products" sheetId="4" r:id="rId1"/>
    <sheet name="customers" sheetId="11" r:id="rId2"/>
    <sheet name="Sales" sheetId="5" r:id="rId3"/>
    <sheet name="Sales_Report" sheetId="1" r:id="rId4"/>
  </sheets>
  <definedNames>
    <definedName name="ExternalData_1" localSheetId="0" hidden="1">products!$A$1:$D$11</definedName>
    <definedName name="ExternalData_1" localSheetId="2" hidden="1">Sales!$A$1:$J$501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N5" i="1"/>
  <c r="E5" i="1"/>
  <c r="B5" i="1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7304F9-B748-4EFB-891E-219FFD6F2661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4CD8C5B9-C234-498B-845C-639929A42B18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28CE2118-C315-497A-8403-D733DBB85E35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<sst xmlns="http://schemas.openxmlformats.org/spreadsheetml/2006/main" count="2631" uniqueCount="102">
  <si>
    <t>Customer_ID</t>
  </si>
  <si>
    <t>Customer_Name</t>
  </si>
  <si>
    <t>City</t>
  </si>
  <si>
    <t>C001</t>
  </si>
  <si>
    <t>Rahul Sharma</t>
  </si>
  <si>
    <t>Nagpur</t>
  </si>
  <si>
    <t>C002</t>
  </si>
  <si>
    <t>Priya Patil</t>
  </si>
  <si>
    <t>Pune</t>
  </si>
  <si>
    <t>C003</t>
  </si>
  <si>
    <t>Amit Verma</t>
  </si>
  <si>
    <t>Mumbai</t>
  </si>
  <si>
    <t>C004</t>
  </si>
  <si>
    <t>Sneha Joshi</t>
  </si>
  <si>
    <t>Nashik</t>
  </si>
  <si>
    <t>C005</t>
  </si>
  <si>
    <t>Rohit Singh</t>
  </si>
  <si>
    <t>Delhi</t>
  </si>
  <si>
    <t>C006</t>
  </si>
  <si>
    <t>Neha Gupta</t>
  </si>
  <si>
    <t>Indore</t>
  </si>
  <si>
    <t>C007</t>
  </si>
  <si>
    <t>Karan Mehta</t>
  </si>
  <si>
    <t>Bhopal</t>
  </si>
  <si>
    <t>C008</t>
  </si>
  <si>
    <t>Pooja Deshmukh</t>
  </si>
  <si>
    <t>Aurangabad</t>
  </si>
  <si>
    <t>C009</t>
  </si>
  <si>
    <t>Vikas Yadav</t>
  </si>
  <si>
    <t>Thane</t>
  </si>
  <si>
    <t>C010</t>
  </si>
  <si>
    <t>Anjali Kulkarni</t>
  </si>
  <si>
    <t>C011</t>
  </si>
  <si>
    <t>Sahil Khan</t>
  </si>
  <si>
    <t>C012</t>
  </si>
  <si>
    <t>Riya Shah</t>
  </si>
  <si>
    <t>C013</t>
  </si>
  <si>
    <t>Akash Jain</t>
  </si>
  <si>
    <t>C014</t>
  </si>
  <si>
    <t>Komal Pawar</t>
  </si>
  <si>
    <t>C015</t>
  </si>
  <si>
    <t>Nitin More</t>
  </si>
  <si>
    <t>Product_ID</t>
  </si>
  <si>
    <t>Product_Name</t>
  </si>
  <si>
    <t>Category</t>
  </si>
  <si>
    <t>Unit_Price</t>
  </si>
  <si>
    <t>P101</t>
  </si>
  <si>
    <t>Laptop</t>
  </si>
  <si>
    <t>Electronics</t>
  </si>
  <si>
    <t>P102</t>
  </si>
  <si>
    <t>Keyboard</t>
  </si>
  <si>
    <t>Accessories</t>
  </si>
  <si>
    <t>P103</t>
  </si>
  <si>
    <t>Mouse</t>
  </si>
  <si>
    <t>P104</t>
  </si>
  <si>
    <t>Monitor</t>
  </si>
  <si>
    <t>P105</t>
  </si>
  <si>
    <t>Headphones</t>
  </si>
  <si>
    <t>P106</t>
  </si>
  <si>
    <t>Printer</t>
  </si>
  <si>
    <t>P107</t>
  </si>
  <si>
    <t>Tablet</t>
  </si>
  <si>
    <t>P108</t>
  </si>
  <si>
    <t>Webcam</t>
  </si>
  <si>
    <t>P109</t>
  </si>
  <si>
    <t>USB Drive</t>
  </si>
  <si>
    <t>P110</t>
  </si>
  <si>
    <t>Smartphone</t>
  </si>
  <si>
    <t>Sale_ID</t>
  </si>
  <si>
    <t>Sale_Date</t>
  </si>
  <si>
    <t>Quantity</t>
  </si>
  <si>
    <t>Salesperson</t>
  </si>
  <si>
    <t>Region</t>
  </si>
  <si>
    <t>Payment_Mode</t>
  </si>
  <si>
    <t>Total_Sales</t>
  </si>
  <si>
    <t>Neha</t>
  </si>
  <si>
    <t>South</t>
  </si>
  <si>
    <t>UPI</t>
  </si>
  <si>
    <t>Amit</t>
  </si>
  <si>
    <t>North</t>
  </si>
  <si>
    <t>Sneha</t>
  </si>
  <si>
    <t>Net Banking</t>
  </si>
  <si>
    <t>Rahul</t>
  </si>
  <si>
    <t>East</t>
  </si>
  <si>
    <t>Central</t>
  </si>
  <si>
    <t>Card</t>
  </si>
  <si>
    <t>Vikas</t>
  </si>
  <si>
    <t>Cash</t>
  </si>
  <si>
    <t>West</t>
  </si>
  <si>
    <t>Priya</t>
  </si>
  <si>
    <t>Sales_Category</t>
  </si>
  <si>
    <t>Total Sales</t>
  </si>
  <si>
    <t>Grand Total</t>
  </si>
  <si>
    <t>CITY-WISE SALES</t>
  </si>
  <si>
    <t>CATEGORY-WISE SALES</t>
  </si>
  <si>
    <t xml:space="preserve">Sales Person </t>
  </si>
  <si>
    <t xml:space="preserve"> Total_Sales</t>
  </si>
  <si>
    <t>SALES DATA ANALYSIS REPORT</t>
  </si>
  <si>
    <t>Total Orders</t>
  </si>
  <si>
    <t>Total Quantity</t>
  </si>
  <si>
    <t>Average Sale</t>
  </si>
  <si>
    <t>SALES PERSON-WISE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</si>
</sst>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14009]yyyy/mm/dd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u/>
      <sz val="16"/>
      <color rgb="FFFF000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0" fontId="1" fillId="3" borderId="1" xfId="0" applyFont="1" applyFill="1" applyBorder="1"/>
    <xf numFmtId="0" fontId="1" fillId="3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3" fontId="1" fillId="3" borderId="1" xfId="1" applyFont="1" applyFill="1" applyBorder="1"/>
    <xf numFmtId="0" fontId="0" fillId="0" borderId="0" xfId="0" applyNumberFormat="1"/>
    <xf numFmtId="2" fontId="1" fillId="3" borderId="0" xfId="0" applyNumberFormat="1" applyFont="1" applyFill="1"/>
    <xf numFmtId="43" fontId="0" fillId="0" borderId="0" xfId="0" applyNumberFormat="1"/>
  </cellXfs>
  <cellStyles count="2">
    <cellStyle name="Comma" xfId="1" builtinId="3"/>
    <cellStyle name="Normal" xfId="0" builtinId="0"/>
  </cellStyles>
  <dxfs count="20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14009]yyyy/mm/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[Sales_Data_Analysis.xlsx]Sales_Report!PivotTable4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City-wise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Sales_Report!$D$10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Sales_Report!$C$11:$C$20</c:f>
              <c:strCache>
                <c:ptCount val="9"/>
                <c:pt idx="0">
                  <c:v>Aurangabad</c:v>
                </c:pt>
                <c:pt idx="1">
                  <c:v>Bhopal</c:v>
                </c:pt>
                <c:pt idx="2">
                  <c:v>Delhi</c:v>
                </c:pt>
                <c:pt idx="3">
                  <c:v>Indore</c:v>
                </c:pt>
                <c:pt idx="4">
                  <c:v>Mumbai</c:v>
                </c:pt>
                <c:pt idx="5">
                  <c:v>Nagpur</c:v>
                </c:pt>
                <c:pt idx="6">
                  <c:v>Nashik</c:v>
                </c:pt>
                <c:pt idx="7">
                  <c:v>Pune</c:v>
                </c:pt>
                <c:pt idx="8">
                  <c:v>Thane</c:v>
                </c:pt>
              </c:strCache>
            </c:strRef>
          </c:cat>
          <c:val>
            <c:numRef>
              <c:f>Sales_Report!$D$11:$D$20</c:f>
              <c:numCache>
                <c:formatCode>_(* #,##0.00_);_(* \(#,##0.00\);_(* "-"??_);_(@_)</c:formatCode>
                <c:ptCount val="9"/>
                <c:pt idx="0">
                  <c:v>1113700</c:v>
                </c:pt>
                <c:pt idx="1">
                  <c:v>1756200</c:v>
                </c:pt>
                <c:pt idx="2">
                  <c:v>2038000</c:v>
                </c:pt>
                <c:pt idx="3">
                  <c:v>6132400</c:v>
                </c:pt>
                <c:pt idx="4">
                  <c:v>4738400</c:v>
                </c:pt>
                <c:pt idx="5">
                  <c:v>5038900</c:v>
                </c:pt>
                <c:pt idx="6">
                  <c:v>3276600</c:v>
                </c:pt>
                <c:pt idx="7">
                  <c:v>3876700</c:v>
                </c:pt>
                <c:pt idx="8">
                  <c:v>2678700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7-4E15-9082-792C38751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9160288"/>
        <c:axId val="1137407664"/>
      </c:barChart>
      <c:catAx>
        <c:axId val="11291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407664"/>
        <c:crosses val="autoZero"/>
        <c:auto val="1"/>
        <c:lblAlgn val="ctr"/>
        <c:lblOffset val="100"/>
        <c:noMultiLvlLbl val="0"/>
      </c:catAx>
      <c:valAx>
        <c:axId val="113740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[Sales_Data_Analysis.xlsx]Sales_Report!PivotTable7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Salesperson-wise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Sales_Report!$H$10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Sales_Report!$G$11:$G$17</c:f>
              <c:strCache>
                <c:ptCount val="6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  <c:pt idx="4">
                  <c:v>Sneha</c:v>
                </c:pt>
                <c:pt idx="5">
                  <c:v>Vikas</c:v>
                </c:pt>
              </c:strCache>
            </c:strRef>
          </c:cat>
          <c:val>
            <c:numRef>
              <c:f>Sales_Report!$H$11:$H$17</c:f>
              <c:numCache>
                <c:formatCode>_(* #,##0.00_);_(* \(#,##0.00\);_(* "-"??_);_(@_)</c:formatCode>
                <c:ptCount val="6"/>
                <c:pt idx="0">
                  <c:v>5801900</c:v>
                </c:pt>
                <c:pt idx="1">
                  <c:v>5375400</c:v>
                </c:pt>
                <c:pt idx="2">
                  <c:v>4760400</c:v>
                </c:pt>
                <c:pt idx="3">
                  <c:v>5420600</c:v>
                </c:pt>
                <c:pt idx="4">
                  <c:v>5164500</c:v>
                </c:pt>
                <c:pt idx="5">
                  <c:v>4126800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F-4A04-B9A6-765AD93BB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9125024"/>
        <c:axId val="1137362544"/>
      </c:barChart>
      <c:catAx>
        <c:axId val="11291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62544"/>
        <c:crosses val="autoZero"/>
        <c:auto val="1"/>
        <c:lblAlgn val="ctr"/>
        <c:lblOffset val="100"/>
        <c:noMultiLvlLbl val="0"/>
      </c:catAx>
      <c:valAx>
        <c:axId val="11373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2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Category-wise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Accessories</c:v>
              </c:pt>
              <c:pt idx="1">
                <c:v>Electronics</c:v>
              </c:pt>
            </c:strLit>
          </c:cat>
          <c:val>
            <c:numLit>
              <c:formatCode>General</c:formatCode>
              <c:ptCount val="2"/>
              <c:pt idx="0">
                <c:v>2654600</c:v>
              </c:pt>
              <c:pt idx="1">
                <c:v>27995000</c:v>
              </c:pt>
            </c:numLit>
          </c:val>
          <c:extLst>
            <c:ext xmlns:c16="http://schemas.microsoft.com/office/drawing/2014/chart" uri="{C3380CC4-5D6E-409C-BE32-E72D297353CC}">
              <c16:uniqueId val="{00000000-4DAF-45B4-8273-45E4F3EA5C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29162144"/>
        <c:axId val="1137355824"/>
      </c:barChart>
      <c:catAx>
        <c:axId val="1129162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55824"/>
        <c:crosses val="autoZero"/>
        <c:auto val="1"/>
        <c:lblAlgn val="ctr"/>
        <c:lblOffset val="100"/>
        <c:noMultiLvlLbl val="0"/>
      </c:catAx>
      <c:valAx>
        <c:axId val="113735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6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274326</xdr:colOff>
      <xdr:row>22</xdr:row>
      <xdr:rowOff>91440</xdr:rowOff>
    </xdr:from>
    <xdr:to>
      <xdr:col>4</xdr:col>
      <xdr:colOff>617220</xdr:colOff>
      <xdr:row>35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F52A2-0B43-BBEC-977A-B29F9B7A1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1059180</xdr:colOff>
      <xdr:row>22</xdr:row>
      <xdr:rowOff>76200</xdr:rowOff>
    </xdr:from>
    <xdr:to>
      <xdr:col>9</xdr:col>
      <xdr:colOff>411480</xdr:colOff>
      <xdr:row>34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852998-3017-A84B-255D-DFB81D2E9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373380</xdr:colOff>
      <xdr:row>23</xdr:row>
      <xdr:rowOff>15240</xdr:rowOff>
    </xdr:from>
    <xdr:to>
      <xdr:col>17</xdr:col>
      <xdr:colOff>251460</xdr:colOff>
      <xdr:row>33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CF3AA4-3072-CCCB-924D-6E305642E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92.594298958335" createdVersion="8" refreshedVersion="8" minRefreshableVersion="3" recordCount="500" xr:uid="{68925CC4-D7C0-44E0-8D7C-4AE9C4528E90}">
  <cacheSource type="worksheet">
    <worksheetSource name="Sales_Data"/>
  </cacheSource>
  <cacheFields count="15">
    <cacheField name="Sale_ID" numFmtId="0">
      <sharedItems containsSemiMixedTypes="0" containsString="0" containsNumber="1" containsInteger="1" minValue="1001" maxValue="1500"/>
    </cacheField>
    <cacheField name="Sale_Date" numFmtId="14">
      <sharedItems containsSemiMixedTypes="0" containsNonDate="0" containsDate="1" containsString="0" minDate="2026-01-01T00:00:00" maxDate="2026-07-01T00:00:00"/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containsInteger="1" minValue="800" maxValue="55000"/>
    </cacheField>
    <cacheField name="Salesperson" numFmtId="0">
      <sharedItems count="6">
        <s v="Neha"/>
        <s v="Amit"/>
        <s v="Sneha"/>
        <s v="Rahul"/>
        <s v="Vikas"/>
        <s v="Priya"/>
      </sharedItems>
    </cacheField>
    <cacheField name="Region" numFmtId="0">
      <sharedItems/>
    </cacheField>
    <cacheField name="Payment_Mode" numFmtId="0">
      <sharedItems/>
    </cacheField>
    <cacheField name="Total_Sales" numFmtId="0">
      <sharedItems containsSemiMixedTypes="0" containsString="0" containsNumber="1" containsInteger="1" minValue="800" maxValue="440000"/>
    </cacheField>
    <cacheField name="Product_Name" numFmtId="0">
      <sharedItems/>
    </cacheField>
    <cacheField name="Category" numFmtId="0">
      <sharedItems count="3">
        <s v="Accessories"/>
        <s v="Electronics"/>
        <s v="Formula1" f="1"/>
      </sharedItems>
    </cacheField>
    <cacheField name="Customer_Name" numFmtId="0">
      <sharedItems/>
    </cacheField>
    <cacheField name="City" numFmtId="0">
      <sharedItems count="9">
        <s v="Nagpur"/>
        <s v="Pune"/>
        <s v="Nashik"/>
        <s v="Aurangabad"/>
        <s v="Delhi"/>
        <s v="Thane"/>
        <s v="Indore"/>
        <s v="Mumbai"/>
        <s v="Bhopal"/>
      </sharedItems>
    </cacheField>
    <cacheField name="Sales_Category" numFmtId="0">
      <sharedItems/>
    </cacheField>
  </cacheFields>
  <calculatedItems count="1">
    <calculatedItem>
      <pivotArea cacheIndex="1" outline="0" fieldPosition="0">
        <references count="1">
          <reference field="11" count="1">
            <x v="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1"/>
    <d v="2026-03-12T00:00:00"/>
    <s v="C001"/>
    <s v="P102"/>
    <n v="4"/>
    <n v="2500"/>
    <x v="0"/>
    <s v="South"/>
    <s v="UPI"/>
    <n v="10000"/>
    <s v="Keyboard"/>
    <x v="0"/>
    <s v="Rahul Sharma"/>
    <x v="0"/>
    <s v="Low"/>
  </r>
  <r>
    <n v="1002"/>
    <d v="2026-06-01T00:00:00"/>
    <s v="C002"/>
    <s v="P109"/>
    <n v="7"/>
    <n v="900"/>
    <x v="1"/>
    <s v="North"/>
    <s v="UPI"/>
    <n v="6300"/>
    <s v="USB Drive"/>
    <x v="0"/>
    <s v="Priya Patil"/>
    <x v="1"/>
    <s v="Low"/>
  </r>
  <r>
    <n v="1003"/>
    <d v="2026-05-10T00:00:00"/>
    <s v="C004"/>
    <s v="P104"/>
    <n v="1"/>
    <n v="15000"/>
    <x v="2"/>
    <s v="South"/>
    <s v="Net Banking"/>
    <n v="15000"/>
    <s v="Monitor"/>
    <x v="1"/>
    <s v="Sneha Joshi"/>
    <x v="2"/>
    <s v="Low"/>
  </r>
  <r>
    <n v="1004"/>
    <d v="2026-05-31T00:00:00"/>
    <s v="C008"/>
    <s v="P104"/>
    <n v="5"/>
    <n v="15000"/>
    <x v="1"/>
    <s v="South"/>
    <s v="Net Banking"/>
    <n v="75000"/>
    <s v="Monitor"/>
    <x v="1"/>
    <s v="Pooja Deshmukh"/>
    <x v="3"/>
    <s v="High"/>
  </r>
  <r>
    <n v="1005"/>
    <d v="2026-02-09T00:00:00"/>
    <s v="C005"/>
    <s v="P106"/>
    <n v="4"/>
    <n v="12000"/>
    <x v="3"/>
    <s v="North"/>
    <s v="UPI"/>
    <n v="48000"/>
    <s v="Printer"/>
    <x v="1"/>
    <s v="Rohit Singh"/>
    <x v="4"/>
    <s v="Low"/>
  </r>
  <r>
    <n v="1006"/>
    <d v="2026-04-02T00:00:00"/>
    <s v="C002"/>
    <s v="P107"/>
    <n v="6"/>
    <n v="22000"/>
    <x v="2"/>
    <s v="East"/>
    <s v="UPI"/>
    <n v="132000"/>
    <s v="Tablet"/>
    <x v="1"/>
    <s v="Priya Patil"/>
    <x v="1"/>
    <s v="High"/>
  </r>
  <r>
    <n v="1007"/>
    <d v="2026-02-01T00:00:00"/>
    <s v="C009"/>
    <s v="P108"/>
    <n v="7"/>
    <n v="3000"/>
    <x v="1"/>
    <s v="Central"/>
    <s v="Card"/>
    <n v="21000"/>
    <s v="Webcam"/>
    <x v="0"/>
    <s v="Vikas Yadav"/>
    <x v="5"/>
    <s v="Low"/>
  </r>
  <r>
    <n v="1008"/>
    <d v="2026-04-03T00:00:00"/>
    <s v="C015"/>
    <s v="P110"/>
    <n v="4"/>
    <n v="30000"/>
    <x v="4"/>
    <s v="North"/>
    <s v="UPI"/>
    <n v="120000"/>
    <s v="Smartphone"/>
    <x v="1"/>
    <s v="Nitin More"/>
    <x v="0"/>
    <s v="High"/>
  </r>
  <r>
    <n v="1009"/>
    <d v="2026-03-16T00:00:00"/>
    <s v="C013"/>
    <s v="P104"/>
    <n v="2"/>
    <n v="15000"/>
    <x v="0"/>
    <s v="North"/>
    <s v="Net Banking"/>
    <n v="30000"/>
    <s v="Monitor"/>
    <x v="1"/>
    <s v="Akash Jain"/>
    <x v="2"/>
    <s v="Low"/>
  </r>
  <r>
    <n v="1010"/>
    <d v="2026-06-12T00:00:00"/>
    <s v="C008"/>
    <s v="P105"/>
    <n v="6"/>
    <n v="3500"/>
    <x v="0"/>
    <s v="East"/>
    <s v="Card"/>
    <n v="21000"/>
    <s v="Headphones"/>
    <x v="0"/>
    <s v="Pooja Deshmukh"/>
    <x v="3"/>
    <s v="Low"/>
  </r>
  <r>
    <n v="1011"/>
    <d v="2026-03-10T00:00:00"/>
    <s v="C011"/>
    <s v="P104"/>
    <n v="2"/>
    <n v="15000"/>
    <x v="2"/>
    <s v="South"/>
    <s v="Cash"/>
    <n v="30000"/>
    <s v="Monitor"/>
    <x v="1"/>
    <s v="Sahil Khan"/>
    <x v="1"/>
    <s v="Low"/>
  </r>
  <r>
    <n v="1012"/>
    <d v="2026-04-08T00:00:00"/>
    <s v="C008"/>
    <s v="P103"/>
    <n v="5"/>
    <n v="800"/>
    <x v="4"/>
    <s v="Central"/>
    <s v="Cash"/>
    <n v="4000"/>
    <s v="Mouse"/>
    <x v="0"/>
    <s v="Pooja Deshmukh"/>
    <x v="3"/>
    <s v="Low"/>
  </r>
  <r>
    <n v="1013"/>
    <d v="2026-01-15T00:00:00"/>
    <s v="C014"/>
    <s v="P106"/>
    <n v="4"/>
    <n v="12000"/>
    <x v="1"/>
    <s v="East"/>
    <s v="Net Banking"/>
    <n v="48000"/>
    <s v="Printer"/>
    <x v="1"/>
    <s v="Komal Pawar"/>
    <x v="6"/>
    <s v="Low"/>
  </r>
  <r>
    <n v="1014"/>
    <d v="2026-02-24T00:00:00"/>
    <s v="C002"/>
    <s v="P105"/>
    <n v="6"/>
    <n v="3500"/>
    <x v="0"/>
    <s v="West"/>
    <s v="Net Banking"/>
    <n v="21000"/>
    <s v="Headphones"/>
    <x v="0"/>
    <s v="Priya Patil"/>
    <x v="1"/>
    <s v="Low"/>
  </r>
  <r>
    <n v="1015"/>
    <d v="2026-03-09T00:00:00"/>
    <s v="C003"/>
    <s v="P108"/>
    <n v="3"/>
    <n v="3000"/>
    <x v="0"/>
    <s v="Central"/>
    <s v="Card"/>
    <n v="9000"/>
    <s v="Webcam"/>
    <x v="0"/>
    <s v="Amit Verma"/>
    <x v="7"/>
    <s v="Low"/>
  </r>
  <r>
    <n v="1016"/>
    <d v="2026-05-30T00:00:00"/>
    <s v="C007"/>
    <s v="P110"/>
    <n v="7"/>
    <n v="30000"/>
    <x v="3"/>
    <s v="South"/>
    <s v="Cash"/>
    <n v="210000"/>
    <s v="Smartphone"/>
    <x v="1"/>
    <s v="Karan Mehta"/>
    <x v="8"/>
    <s v="High"/>
  </r>
  <r>
    <n v="1017"/>
    <d v="2026-01-24T00:00:00"/>
    <s v="C008"/>
    <s v="P109"/>
    <n v="1"/>
    <n v="900"/>
    <x v="1"/>
    <s v="South"/>
    <s v="Cash"/>
    <n v="900"/>
    <s v="USB Drive"/>
    <x v="0"/>
    <s v="Pooja Deshmukh"/>
    <x v="3"/>
    <s v="Low"/>
  </r>
  <r>
    <n v="1018"/>
    <d v="2026-01-17T00:00:00"/>
    <s v="C010"/>
    <s v="P107"/>
    <n v="7"/>
    <n v="22000"/>
    <x v="5"/>
    <s v="Central"/>
    <s v="Net Banking"/>
    <n v="154000"/>
    <s v="Tablet"/>
    <x v="1"/>
    <s v="Anjali Kulkarni"/>
    <x v="0"/>
    <s v="High"/>
  </r>
  <r>
    <n v="1019"/>
    <d v="2026-05-22T00:00:00"/>
    <s v="C005"/>
    <s v="P109"/>
    <n v="1"/>
    <n v="900"/>
    <x v="4"/>
    <s v="North"/>
    <s v="Card"/>
    <n v="900"/>
    <s v="USB Drive"/>
    <x v="0"/>
    <s v="Rohit Singh"/>
    <x v="4"/>
    <s v="Low"/>
  </r>
  <r>
    <n v="1020"/>
    <d v="2026-03-17T00:00:00"/>
    <s v="C002"/>
    <s v="P106"/>
    <n v="7"/>
    <n v="12000"/>
    <x v="0"/>
    <s v="West"/>
    <s v="UPI"/>
    <n v="84000"/>
    <s v="Printer"/>
    <x v="1"/>
    <s v="Priya Patil"/>
    <x v="1"/>
    <s v="High"/>
  </r>
  <r>
    <n v="1021"/>
    <d v="2026-02-15T00:00:00"/>
    <s v="C009"/>
    <s v="P105"/>
    <n v="2"/>
    <n v="3500"/>
    <x v="4"/>
    <s v="East"/>
    <s v="Cash"/>
    <n v="7000"/>
    <s v="Headphones"/>
    <x v="0"/>
    <s v="Vikas Yadav"/>
    <x v="5"/>
    <s v="Low"/>
  </r>
  <r>
    <n v="1022"/>
    <d v="2026-02-11T00:00:00"/>
    <s v="C006"/>
    <s v="P103"/>
    <n v="1"/>
    <n v="800"/>
    <x v="2"/>
    <s v="East"/>
    <s v="Net Banking"/>
    <n v="800"/>
    <s v="Mouse"/>
    <x v="0"/>
    <s v="Neha Gupta"/>
    <x v="6"/>
    <s v="Low"/>
  </r>
  <r>
    <n v="1023"/>
    <d v="2026-04-03T00:00:00"/>
    <s v="C002"/>
    <s v="P101"/>
    <n v="5"/>
    <n v="55000"/>
    <x v="0"/>
    <s v="North"/>
    <s v="Cash"/>
    <n v="275000"/>
    <s v="Laptop"/>
    <x v="1"/>
    <s v="Priya Patil"/>
    <x v="1"/>
    <s v="High"/>
  </r>
  <r>
    <n v="1024"/>
    <d v="2026-01-22T00:00:00"/>
    <s v="C002"/>
    <s v="P110"/>
    <n v="8"/>
    <n v="30000"/>
    <x v="1"/>
    <s v="Central"/>
    <s v="Cash"/>
    <n v="240000"/>
    <s v="Smartphone"/>
    <x v="1"/>
    <s v="Priya Patil"/>
    <x v="1"/>
    <s v="High"/>
  </r>
  <r>
    <n v="1025"/>
    <d v="2026-05-02T00:00:00"/>
    <s v="C011"/>
    <s v="P103"/>
    <n v="3"/>
    <n v="800"/>
    <x v="3"/>
    <s v="Central"/>
    <s v="Net Banking"/>
    <n v="2400"/>
    <s v="Mouse"/>
    <x v="0"/>
    <s v="Sahil Khan"/>
    <x v="1"/>
    <s v="Low"/>
  </r>
  <r>
    <n v="1026"/>
    <d v="2026-05-19T00:00:00"/>
    <s v="C015"/>
    <s v="P104"/>
    <n v="4"/>
    <n v="15000"/>
    <x v="4"/>
    <s v="East"/>
    <s v="Net Banking"/>
    <n v="60000"/>
    <s v="Monitor"/>
    <x v="1"/>
    <s v="Nitin More"/>
    <x v="0"/>
    <s v="High"/>
  </r>
  <r>
    <n v="1027"/>
    <d v="2026-05-13T00:00:00"/>
    <s v="C008"/>
    <s v="P106"/>
    <n v="8"/>
    <n v="12000"/>
    <x v="1"/>
    <s v="South"/>
    <s v="Cash"/>
    <n v="96000"/>
    <s v="Printer"/>
    <x v="1"/>
    <s v="Pooja Deshmukh"/>
    <x v="3"/>
    <s v="High"/>
  </r>
  <r>
    <n v="1028"/>
    <d v="2026-01-06T00:00:00"/>
    <s v="C006"/>
    <s v="P102"/>
    <n v="4"/>
    <n v="2500"/>
    <x v="2"/>
    <s v="South"/>
    <s v="UPI"/>
    <n v="10000"/>
    <s v="Keyboard"/>
    <x v="0"/>
    <s v="Neha Gupta"/>
    <x v="6"/>
    <s v="Low"/>
  </r>
  <r>
    <n v="1029"/>
    <d v="2026-06-11T00:00:00"/>
    <s v="C012"/>
    <s v="P102"/>
    <n v="1"/>
    <n v="2500"/>
    <x v="0"/>
    <s v="North"/>
    <s v="UPI"/>
    <n v="2500"/>
    <s v="Keyboard"/>
    <x v="0"/>
    <s v="Riya Shah"/>
    <x v="7"/>
    <s v="Low"/>
  </r>
  <r>
    <n v="1030"/>
    <d v="2026-05-12T00:00:00"/>
    <s v="C002"/>
    <s v="P106"/>
    <n v="4"/>
    <n v="12000"/>
    <x v="3"/>
    <s v="West"/>
    <s v="Cash"/>
    <n v="48000"/>
    <s v="Printer"/>
    <x v="1"/>
    <s v="Priya Patil"/>
    <x v="1"/>
    <s v="Low"/>
  </r>
  <r>
    <n v="1031"/>
    <d v="2026-05-27T00:00:00"/>
    <s v="C003"/>
    <s v="P109"/>
    <n v="8"/>
    <n v="900"/>
    <x v="0"/>
    <s v="West"/>
    <s v="Net Banking"/>
    <n v="7200"/>
    <s v="USB Drive"/>
    <x v="0"/>
    <s v="Amit Verma"/>
    <x v="7"/>
    <s v="Low"/>
  </r>
  <r>
    <n v="1032"/>
    <d v="2026-01-25T00:00:00"/>
    <s v="C002"/>
    <s v="P104"/>
    <n v="7"/>
    <n v="15000"/>
    <x v="3"/>
    <s v="West"/>
    <s v="Net Banking"/>
    <n v="105000"/>
    <s v="Monitor"/>
    <x v="1"/>
    <s v="Priya Patil"/>
    <x v="1"/>
    <s v="High"/>
  </r>
  <r>
    <n v="1033"/>
    <d v="2026-01-14T00:00:00"/>
    <s v="C014"/>
    <s v="P108"/>
    <n v="2"/>
    <n v="3000"/>
    <x v="1"/>
    <s v="West"/>
    <s v="Card"/>
    <n v="6000"/>
    <s v="Webcam"/>
    <x v="0"/>
    <s v="Komal Pawar"/>
    <x v="6"/>
    <s v="Low"/>
  </r>
  <r>
    <n v="1034"/>
    <d v="2026-02-19T00:00:00"/>
    <s v="C004"/>
    <s v="P102"/>
    <n v="4"/>
    <n v="2500"/>
    <x v="2"/>
    <s v="West"/>
    <s v="Cash"/>
    <n v="10000"/>
    <s v="Keyboard"/>
    <x v="0"/>
    <s v="Sneha Joshi"/>
    <x v="2"/>
    <s v="Low"/>
  </r>
  <r>
    <n v="1035"/>
    <d v="2026-03-13T00:00:00"/>
    <s v="C003"/>
    <s v="P107"/>
    <n v="8"/>
    <n v="22000"/>
    <x v="0"/>
    <s v="North"/>
    <s v="Net Banking"/>
    <n v="176000"/>
    <s v="Tablet"/>
    <x v="1"/>
    <s v="Amit Verma"/>
    <x v="7"/>
    <s v="High"/>
  </r>
  <r>
    <n v="1036"/>
    <d v="2026-01-13T00:00:00"/>
    <s v="C002"/>
    <s v="P109"/>
    <n v="1"/>
    <n v="900"/>
    <x v="1"/>
    <s v="South"/>
    <s v="Cash"/>
    <n v="900"/>
    <s v="USB Drive"/>
    <x v="0"/>
    <s v="Priya Patil"/>
    <x v="1"/>
    <s v="Low"/>
  </r>
  <r>
    <n v="1037"/>
    <d v="2026-05-04T00:00:00"/>
    <s v="C008"/>
    <s v="P107"/>
    <n v="4"/>
    <n v="22000"/>
    <x v="5"/>
    <s v="North"/>
    <s v="Cash"/>
    <n v="88000"/>
    <s v="Tablet"/>
    <x v="1"/>
    <s v="Pooja Deshmukh"/>
    <x v="3"/>
    <s v="High"/>
  </r>
  <r>
    <n v="1038"/>
    <d v="2026-04-10T00:00:00"/>
    <s v="C001"/>
    <s v="P107"/>
    <n v="5"/>
    <n v="22000"/>
    <x v="5"/>
    <s v="East"/>
    <s v="Net Banking"/>
    <n v="110000"/>
    <s v="Tablet"/>
    <x v="1"/>
    <s v="Rahul Sharma"/>
    <x v="0"/>
    <s v="High"/>
  </r>
  <r>
    <n v="1039"/>
    <d v="2026-05-05T00:00:00"/>
    <s v="C011"/>
    <s v="P109"/>
    <n v="3"/>
    <n v="900"/>
    <x v="0"/>
    <s v="East"/>
    <s v="Cash"/>
    <n v="2700"/>
    <s v="USB Drive"/>
    <x v="0"/>
    <s v="Sahil Khan"/>
    <x v="1"/>
    <s v="Low"/>
  </r>
  <r>
    <n v="1040"/>
    <d v="2026-05-19T00:00:00"/>
    <s v="C010"/>
    <s v="P101"/>
    <n v="1"/>
    <n v="55000"/>
    <x v="4"/>
    <s v="East"/>
    <s v="UPI"/>
    <n v="55000"/>
    <s v="Laptop"/>
    <x v="1"/>
    <s v="Anjali Kulkarni"/>
    <x v="0"/>
    <s v="High"/>
  </r>
  <r>
    <n v="1041"/>
    <d v="2026-05-03T00:00:00"/>
    <s v="C010"/>
    <s v="P101"/>
    <n v="3"/>
    <n v="55000"/>
    <x v="1"/>
    <s v="Central"/>
    <s v="UPI"/>
    <n v="165000"/>
    <s v="Laptop"/>
    <x v="1"/>
    <s v="Anjali Kulkarni"/>
    <x v="0"/>
    <s v="High"/>
  </r>
  <r>
    <n v="1042"/>
    <d v="2026-06-02T00:00:00"/>
    <s v="C002"/>
    <s v="P103"/>
    <n v="2"/>
    <n v="800"/>
    <x v="4"/>
    <s v="South"/>
    <s v="Net Banking"/>
    <n v="1600"/>
    <s v="Mouse"/>
    <x v="0"/>
    <s v="Priya Patil"/>
    <x v="1"/>
    <s v="Low"/>
  </r>
  <r>
    <n v="1043"/>
    <d v="2026-05-26T00:00:00"/>
    <s v="C015"/>
    <s v="P102"/>
    <n v="4"/>
    <n v="2500"/>
    <x v="2"/>
    <s v="Central"/>
    <s v="UPI"/>
    <n v="10000"/>
    <s v="Keyboard"/>
    <x v="0"/>
    <s v="Nitin More"/>
    <x v="0"/>
    <s v="Low"/>
  </r>
  <r>
    <n v="1044"/>
    <d v="2026-04-18T00:00:00"/>
    <s v="C002"/>
    <s v="P110"/>
    <n v="6"/>
    <n v="30000"/>
    <x v="3"/>
    <s v="South"/>
    <s v="Card"/>
    <n v="180000"/>
    <s v="Smartphone"/>
    <x v="1"/>
    <s v="Priya Patil"/>
    <x v="1"/>
    <s v="High"/>
  </r>
  <r>
    <n v="1045"/>
    <d v="2026-04-12T00:00:00"/>
    <s v="C005"/>
    <s v="P104"/>
    <n v="3"/>
    <n v="15000"/>
    <x v="4"/>
    <s v="East"/>
    <s v="Net Banking"/>
    <n v="45000"/>
    <s v="Monitor"/>
    <x v="1"/>
    <s v="Rohit Singh"/>
    <x v="4"/>
    <s v="Low"/>
  </r>
  <r>
    <n v="1046"/>
    <d v="2026-01-19T00:00:00"/>
    <s v="C015"/>
    <s v="P106"/>
    <n v="1"/>
    <n v="12000"/>
    <x v="5"/>
    <s v="Central"/>
    <s v="UPI"/>
    <n v="12000"/>
    <s v="Printer"/>
    <x v="1"/>
    <s v="Nitin More"/>
    <x v="0"/>
    <s v="Low"/>
  </r>
  <r>
    <n v="1047"/>
    <d v="2026-02-24T00:00:00"/>
    <s v="C009"/>
    <s v="P102"/>
    <n v="5"/>
    <n v="2500"/>
    <x v="0"/>
    <s v="East"/>
    <s v="UPI"/>
    <n v="12500"/>
    <s v="Keyboard"/>
    <x v="0"/>
    <s v="Vikas Yadav"/>
    <x v="5"/>
    <s v="Low"/>
  </r>
  <r>
    <n v="1048"/>
    <d v="2026-03-14T00:00:00"/>
    <s v="C006"/>
    <s v="P104"/>
    <n v="3"/>
    <n v="15000"/>
    <x v="5"/>
    <s v="Central"/>
    <s v="Card"/>
    <n v="45000"/>
    <s v="Monitor"/>
    <x v="1"/>
    <s v="Neha Gupta"/>
    <x v="6"/>
    <s v="Low"/>
  </r>
  <r>
    <n v="1049"/>
    <d v="2026-06-17T00:00:00"/>
    <s v="C013"/>
    <s v="P110"/>
    <n v="1"/>
    <n v="30000"/>
    <x v="4"/>
    <s v="Central"/>
    <s v="Card"/>
    <n v="30000"/>
    <s v="Smartphone"/>
    <x v="1"/>
    <s v="Akash Jain"/>
    <x v="2"/>
    <s v="Low"/>
  </r>
  <r>
    <n v="1050"/>
    <d v="2026-02-04T00:00:00"/>
    <s v="C015"/>
    <s v="P102"/>
    <n v="5"/>
    <n v="2500"/>
    <x v="1"/>
    <s v="North"/>
    <s v="Cash"/>
    <n v="12500"/>
    <s v="Keyboard"/>
    <x v="0"/>
    <s v="Nitin More"/>
    <x v="0"/>
    <s v="Low"/>
  </r>
  <r>
    <n v="1051"/>
    <d v="2026-06-04T00:00:00"/>
    <s v="C005"/>
    <s v="P105"/>
    <n v="4"/>
    <n v="3500"/>
    <x v="4"/>
    <s v="East"/>
    <s v="Cash"/>
    <n v="14000"/>
    <s v="Headphones"/>
    <x v="0"/>
    <s v="Rohit Singh"/>
    <x v="4"/>
    <s v="Low"/>
  </r>
  <r>
    <n v="1052"/>
    <d v="2026-05-06T00:00:00"/>
    <s v="C009"/>
    <s v="P105"/>
    <n v="5"/>
    <n v="3500"/>
    <x v="1"/>
    <s v="North"/>
    <s v="Net Banking"/>
    <n v="17500"/>
    <s v="Headphones"/>
    <x v="0"/>
    <s v="Vikas Yadav"/>
    <x v="5"/>
    <s v="Low"/>
  </r>
  <r>
    <n v="1053"/>
    <d v="2026-01-01T00:00:00"/>
    <s v="C001"/>
    <s v="P105"/>
    <n v="6"/>
    <n v="3500"/>
    <x v="0"/>
    <s v="East"/>
    <s v="Cash"/>
    <n v="21000"/>
    <s v="Headphones"/>
    <x v="0"/>
    <s v="Rahul Sharma"/>
    <x v="0"/>
    <s v="Low"/>
  </r>
  <r>
    <n v="1054"/>
    <d v="2026-06-30T00:00:00"/>
    <s v="C009"/>
    <s v="P108"/>
    <n v="7"/>
    <n v="3000"/>
    <x v="2"/>
    <s v="North"/>
    <s v="UPI"/>
    <n v="21000"/>
    <s v="Webcam"/>
    <x v="0"/>
    <s v="Vikas Yadav"/>
    <x v="5"/>
    <s v="Low"/>
  </r>
  <r>
    <n v="1055"/>
    <d v="2026-06-26T00:00:00"/>
    <s v="C015"/>
    <s v="P102"/>
    <n v="3"/>
    <n v="2500"/>
    <x v="2"/>
    <s v="North"/>
    <s v="Card"/>
    <n v="7500"/>
    <s v="Keyboard"/>
    <x v="0"/>
    <s v="Nitin More"/>
    <x v="0"/>
    <s v="Low"/>
  </r>
  <r>
    <n v="1056"/>
    <d v="2026-02-07T00:00:00"/>
    <s v="C009"/>
    <s v="P110"/>
    <n v="7"/>
    <n v="30000"/>
    <x v="0"/>
    <s v="North"/>
    <s v="Card"/>
    <n v="210000"/>
    <s v="Smartphone"/>
    <x v="1"/>
    <s v="Vikas Yadav"/>
    <x v="5"/>
    <s v="High"/>
  </r>
  <r>
    <n v="1057"/>
    <d v="2026-01-11T00:00:00"/>
    <s v="C015"/>
    <s v="P106"/>
    <n v="6"/>
    <n v="12000"/>
    <x v="0"/>
    <s v="South"/>
    <s v="UPI"/>
    <n v="72000"/>
    <s v="Printer"/>
    <x v="1"/>
    <s v="Nitin More"/>
    <x v="0"/>
    <s v="High"/>
  </r>
  <r>
    <n v="1058"/>
    <d v="2026-05-24T00:00:00"/>
    <s v="C013"/>
    <s v="P106"/>
    <n v="7"/>
    <n v="12000"/>
    <x v="2"/>
    <s v="South"/>
    <s v="Cash"/>
    <n v="84000"/>
    <s v="Printer"/>
    <x v="1"/>
    <s v="Akash Jain"/>
    <x v="2"/>
    <s v="High"/>
  </r>
  <r>
    <n v="1059"/>
    <d v="2026-02-15T00:00:00"/>
    <s v="C013"/>
    <s v="P103"/>
    <n v="7"/>
    <n v="800"/>
    <x v="1"/>
    <s v="South"/>
    <s v="Card"/>
    <n v="5600"/>
    <s v="Mouse"/>
    <x v="0"/>
    <s v="Akash Jain"/>
    <x v="2"/>
    <s v="Low"/>
  </r>
  <r>
    <n v="1060"/>
    <d v="2026-06-21T00:00:00"/>
    <s v="C013"/>
    <s v="P107"/>
    <n v="4"/>
    <n v="22000"/>
    <x v="3"/>
    <s v="South"/>
    <s v="UPI"/>
    <n v="88000"/>
    <s v="Tablet"/>
    <x v="1"/>
    <s v="Akash Jain"/>
    <x v="2"/>
    <s v="High"/>
  </r>
  <r>
    <n v="1061"/>
    <d v="2026-01-10T00:00:00"/>
    <s v="C014"/>
    <s v="P107"/>
    <n v="8"/>
    <n v="22000"/>
    <x v="0"/>
    <s v="South"/>
    <s v="Net Banking"/>
    <n v="176000"/>
    <s v="Tablet"/>
    <x v="1"/>
    <s v="Komal Pawar"/>
    <x v="6"/>
    <s v="High"/>
  </r>
  <r>
    <n v="1062"/>
    <d v="2026-02-28T00:00:00"/>
    <s v="C005"/>
    <s v="P106"/>
    <n v="4"/>
    <n v="12000"/>
    <x v="1"/>
    <s v="South"/>
    <s v="Net Banking"/>
    <n v="48000"/>
    <s v="Printer"/>
    <x v="1"/>
    <s v="Rohit Singh"/>
    <x v="4"/>
    <s v="Low"/>
  </r>
  <r>
    <n v="1063"/>
    <d v="2026-01-18T00:00:00"/>
    <s v="C005"/>
    <s v="P106"/>
    <n v="5"/>
    <n v="12000"/>
    <x v="3"/>
    <s v="Central"/>
    <s v="Net Banking"/>
    <n v="60000"/>
    <s v="Printer"/>
    <x v="1"/>
    <s v="Rohit Singh"/>
    <x v="4"/>
    <s v="High"/>
  </r>
  <r>
    <n v="1064"/>
    <d v="2026-01-08T00:00:00"/>
    <s v="C006"/>
    <s v="P109"/>
    <n v="2"/>
    <n v="900"/>
    <x v="3"/>
    <s v="South"/>
    <s v="Card"/>
    <n v="1800"/>
    <s v="USB Drive"/>
    <x v="0"/>
    <s v="Neha Gupta"/>
    <x v="6"/>
    <s v="Low"/>
  </r>
  <r>
    <n v="1065"/>
    <d v="2026-06-02T00:00:00"/>
    <s v="C002"/>
    <s v="P101"/>
    <n v="7"/>
    <n v="55000"/>
    <x v="3"/>
    <s v="East"/>
    <s v="Net Banking"/>
    <n v="385000"/>
    <s v="Laptop"/>
    <x v="1"/>
    <s v="Priya Patil"/>
    <x v="1"/>
    <s v="High"/>
  </r>
  <r>
    <n v="1066"/>
    <d v="2026-01-30T00:00:00"/>
    <s v="C009"/>
    <s v="P110"/>
    <n v="7"/>
    <n v="30000"/>
    <x v="2"/>
    <s v="South"/>
    <s v="Card"/>
    <n v="210000"/>
    <s v="Smartphone"/>
    <x v="1"/>
    <s v="Vikas Yadav"/>
    <x v="5"/>
    <s v="High"/>
  </r>
  <r>
    <n v="1067"/>
    <d v="2026-04-22T00:00:00"/>
    <s v="C012"/>
    <s v="P101"/>
    <n v="1"/>
    <n v="55000"/>
    <x v="2"/>
    <s v="Central"/>
    <s v="Cash"/>
    <n v="55000"/>
    <s v="Laptop"/>
    <x v="1"/>
    <s v="Riya Shah"/>
    <x v="7"/>
    <s v="High"/>
  </r>
  <r>
    <n v="1068"/>
    <d v="2026-01-18T00:00:00"/>
    <s v="C007"/>
    <s v="P106"/>
    <n v="6"/>
    <n v="12000"/>
    <x v="2"/>
    <s v="East"/>
    <s v="UPI"/>
    <n v="72000"/>
    <s v="Printer"/>
    <x v="1"/>
    <s v="Karan Mehta"/>
    <x v="8"/>
    <s v="High"/>
  </r>
  <r>
    <n v="1069"/>
    <d v="2026-03-21T00:00:00"/>
    <s v="C009"/>
    <s v="P105"/>
    <n v="7"/>
    <n v="3500"/>
    <x v="3"/>
    <s v="West"/>
    <s v="Card"/>
    <n v="24500"/>
    <s v="Headphones"/>
    <x v="0"/>
    <s v="Vikas Yadav"/>
    <x v="5"/>
    <s v="Low"/>
  </r>
  <r>
    <n v="1070"/>
    <d v="2026-02-19T00:00:00"/>
    <s v="C003"/>
    <s v="P109"/>
    <n v="7"/>
    <n v="900"/>
    <x v="4"/>
    <s v="West"/>
    <s v="Cash"/>
    <n v="6300"/>
    <s v="USB Drive"/>
    <x v="0"/>
    <s v="Amit Verma"/>
    <x v="7"/>
    <s v="Low"/>
  </r>
  <r>
    <n v="1071"/>
    <d v="2026-03-19T00:00:00"/>
    <s v="C010"/>
    <s v="P110"/>
    <n v="7"/>
    <n v="30000"/>
    <x v="2"/>
    <s v="North"/>
    <s v="Card"/>
    <n v="210000"/>
    <s v="Smartphone"/>
    <x v="1"/>
    <s v="Anjali Kulkarni"/>
    <x v="0"/>
    <s v="High"/>
  </r>
  <r>
    <n v="1072"/>
    <d v="2026-04-21T00:00:00"/>
    <s v="C004"/>
    <s v="P105"/>
    <n v="6"/>
    <n v="3500"/>
    <x v="5"/>
    <s v="West"/>
    <s v="Net Banking"/>
    <n v="21000"/>
    <s v="Headphones"/>
    <x v="0"/>
    <s v="Sneha Joshi"/>
    <x v="2"/>
    <s v="Low"/>
  </r>
  <r>
    <n v="1073"/>
    <d v="2026-05-02T00:00:00"/>
    <s v="C009"/>
    <s v="P104"/>
    <n v="3"/>
    <n v="15000"/>
    <x v="4"/>
    <s v="North"/>
    <s v="Card"/>
    <n v="45000"/>
    <s v="Monitor"/>
    <x v="1"/>
    <s v="Vikas Yadav"/>
    <x v="5"/>
    <s v="Low"/>
  </r>
  <r>
    <n v="1074"/>
    <d v="2026-06-12T00:00:00"/>
    <s v="C011"/>
    <s v="P109"/>
    <n v="6"/>
    <n v="900"/>
    <x v="1"/>
    <s v="South"/>
    <s v="Card"/>
    <n v="5400"/>
    <s v="USB Drive"/>
    <x v="0"/>
    <s v="Sahil Khan"/>
    <x v="1"/>
    <s v="Low"/>
  </r>
  <r>
    <n v="1075"/>
    <d v="2026-02-20T00:00:00"/>
    <s v="C013"/>
    <s v="P104"/>
    <n v="3"/>
    <n v="15000"/>
    <x v="1"/>
    <s v="North"/>
    <s v="Cash"/>
    <n v="45000"/>
    <s v="Monitor"/>
    <x v="1"/>
    <s v="Akash Jain"/>
    <x v="2"/>
    <s v="Low"/>
  </r>
  <r>
    <n v="1076"/>
    <d v="2026-01-19T00:00:00"/>
    <s v="C010"/>
    <s v="P108"/>
    <n v="8"/>
    <n v="3000"/>
    <x v="5"/>
    <s v="Central"/>
    <s v="Cash"/>
    <n v="24000"/>
    <s v="Webcam"/>
    <x v="0"/>
    <s v="Anjali Kulkarni"/>
    <x v="0"/>
    <s v="Low"/>
  </r>
  <r>
    <n v="1077"/>
    <d v="2026-04-13T00:00:00"/>
    <s v="C008"/>
    <s v="P107"/>
    <n v="4"/>
    <n v="22000"/>
    <x v="0"/>
    <s v="North"/>
    <s v="UPI"/>
    <n v="88000"/>
    <s v="Tablet"/>
    <x v="1"/>
    <s v="Pooja Deshmukh"/>
    <x v="3"/>
    <s v="High"/>
  </r>
  <r>
    <n v="1078"/>
    <d v="2026-02-15T00:00:00"/>
    <s v="C004"/>
    <s v="P107"/>
    <n v="8"/>
    <n v="22000"/>
    <x v="1"/>
    <s v="Central"/>
    <s v="Cash"/>
    <n v="176000"/>
    <s v="Tablet"/>
    <x v="1"/>
    <s v="Sneha Joshi"/>
    <x v="2"/>
    <s v="High"/>
  </r>
  <r>
    <n v="1079"/>
    <d v="2026-02-04T00:00:00"/>
    <s v="C008"/>
    <s v="P102"/>
    <n v="8"/>
    <n v="2500"/>
    <x v="4"/>
    <s v="Central"/>
    <s v="Card"/>
    <n v="20000"/>
    <s v="Keyboard"/>
    <x v="0"/>
    <s v="Pooja Deshmukh"/>
    <x v="3"/>
    <s v="Low"/>
  </r>
  <r>
    <n v="1080"/>
    <d v="2026-05-10T00:00:00"/>
    <s v="C010"/>
    <s v="P108"/>
    <n v="7"/>
    <n v="3000"/>
    <x v="2"/>
    <s v="West"/>
    <s v="Cash"/>
    <n v="21000"/>
    <s v="Webcam"/>
    <x v="0"/>
    <s v="Anjali Kulkarni"/>
    <x v="0"/>
    <s v="Low"/>
  </r>
  <r>
    <n v="1081"/>
    <d v="2026-03-08T00:00:00"/>
    <s v="C008"/>
    <s v="P108"/>
    <n v="4"/>
    <n v="3000"/>
    <x v="4"/>
    <s v="East"/>
    <s v="Net Banking"/>
    <n v="12000"/>
    <s v="Webcam"/>
    <x v="0"/>
    <s v="Pooja Deshmukh"/>
    <x v="3"/>
    <s v="Low"/>
  </r>
  <r>
    <n v="1082"/>
    <d v="2026-04-23T00:00:00"/>
    <s v="C005"/>
    <s v="P104"/>
    <n v="2"/>
    <n v="15000"/>
    <x v="4"/>
    <s v="East"/>
    <s v="Cash"/>
    <n v="30000"/>
    <s v="Monitor"/>
    <x v="1"/>
    <s v="Rohit Singh"/>
    <x v="4"/>
    <s v="Low"/>
  </r>
  <r>
    <n v="1083"/>
    <d v="2026-03-23T00:00:00"/>
    <s v="C006"/>
    <s v="P105"/>
    <n v="2"/>
    <n v="3500"/>
    <x v="0"/>
    <s v="South"/>
    <s v="Cash"/>
    <n v="7000"/>
    <s v="Headphones"/>
    <x v="0"/>
    <s v="Neha Gupta"/>
    <x v="6"/>
    <s v="Low"/>
  </r>
  <r>
    <n v="1084"/>
    <d v="2026-02-09T00:00:00"/>
    <s v="C012"/>
    <s v="P107"/>
    <n v="4"/>
    <n v="22000"/>
    <x v="1"/>
    <s v="West"/>
    <s v="Net Banking"/>
    <n v="88000"/>
    <s v="Tablet"/>
    <x v="1"/>
    <s v="Riya Shah"/>
    <x v="7"/>
    <s v="High"/>
  </r>
  <r>
    <n v="1085"/>
    <d v="2026-04-30T00:00:00"/>
    <s v="C009"/>
    <s v="P106"/>
    <n v="7"/>
    <n v="12000"/>
    <x v="1"/>
    <s v="South"/>
    <s v="Net Banking"/>
    <n v="84000"/>
    <s v="Printer"/>
    <x v="1"/>
    <s v="Vikas Yadav"/>
    <x v="5"/>
    <s v="High"/>
  </r>
  <r>
    <n v="1086"/>
    <d v="2026-05-30T00:00:00"/>
    <s v="C015"/>
    <s v="P107"/>
    <n v="1"/>
    <n v="22000"/>
    <x v="2"/>
    <s v="West"/>
    <s v="Net Banking"/>
    <n v="22000"/>
    <s v="Tablet"/>
    <x v="1"/>
    <s v="Nitin More"/>
    <x v="0"/>
    <s v="Low"/>
  </r>
  <r>
    <n v="1087"/>
    <d v="2026-03-18T00:00:00"/>
    <s v="C006"/>
    <s v="P101"/>
    <n v="7"/>
    <n v="55000"/>
    <x v="5"/>
    <s v="Central"/>
    <s v="Cash"/>
    <n v="385000"/>
    <s v="Laptop"/>
    <x v="1"/>
    <s v="Neha Gupta"/>
    <x v="6"/>
    <s v="High"/>
  </r>
  <r>
    <n v="1088"/>
    <d v="2026-03-11T00:00:00"/>
    <s v="C004"/>
    <s v="P108"/>
    <n v="7"/>
    <n v="3000"/>
    <x v="5"/>
    <s v="North"/>
    <s v="Net Banking"/>
    <n v="21000"/>
    <s v="Webcam"/>
    <x v="0"/>
    <s v="Sneha Joshi"/>
    <x v="2"/>
    <s v="Low"/>
  </r>
  <r>
    <n v="1089"/>
    <d v="2026-06-23T00:00:00"/>
    <s v="C011"/>
    <s v="P106"/>
    <n v="7"/>
    <n v="12000"/>
    <x v="4"/>
    <s v="South"/>
    <s v="Net Banking"/>
    <n v="84000"/>
    <s v="Printer"/>
    <x v="1"/>
    <s v="Sahil Khan"/>
    <x v="1"/>
    <s v="High"/>
  </r>
  <r>
    <n v="1090"/>
    <d v="2026-05-17T00:00:00"/>
    <s v="C010"/>
    <s v="P103"/>
    <n v="1"/>
    <n v="800"/>
    <x v="5"/>
    <s v="Central"/>
    <s v="UPI"/>
    <n v="800"/>
    <s v="Mouse"/>
    <x v="0"/>
    <s v="Anjali Kulkarni"/>
    <x v="0"/>
    <s v="Low"/>
  </r>
  <r>
    <n v="1091"/>
    <d v="2026-04-20T00:00:00"/>
    <s v="C011"/>
    <s v="P102"/>
    <n v="3"/>
    <n v="2500"/>
    <x v="5"/>
    <s v="South"/>
    <s v="UPI"/>
    <n v="7500"/>
    <s v="Keyboard"/>
    <x v="0"/>
    <s v="Sahil Khan"/>
    <x v="1"/>
    <s v="Low"/>
  </r>
  <r>
    <n v="1092"/>
    <d v="2026-03-25T00:00:00"/>
    <s v="C007"/>
    <s v="P105"/>
    <n v="4"/>
    <n v="3500"/>
    <x v="5"/>
    <s v="East"/>
    <s v="Card"/>
    <n v="14000"/>
    <s v="Headphones"/>
    <x v="0"/>
    <s v="Karan Mehta"/>
    <x v="8"/>
    <s v="Low"/>
  </r>
  <r>
    <n v="1093"/>
    <d v="2026-04-18T00:00:00"/>
    <s v="C005"/>
    <s v="P107"/>
    <n v="5"/>
    <n v="22000"/>
    <x v="1"/>
    <s v="West"/>
    <s v="UPI"/>
    <n v="110000"/>
    <s v="Tablet"/>
    <x v="1"/>
    <s v="Rohit Singh"/>
    <x v="4"/>
    <s v="High"/>
  </r>
  <r>
    <n v="1094"/>
    <d v="2026-03-31T00:00:00"/>
    <s v="C001"/>
    <s v="P109"/>
    <n v="4"/>
    <n v="900"/>
    <x v="4"/>
    <s v="North"/>
    <s v="UPI"/>
    <n v="3600"/>
    <s v="USB Drive"/>
    <x v="0"/>
    <s v="Rahul Sharma"/>
    <x v="0"/>
    <s v="Low"/>
  </r>
  <r>
    <n v="1095"/>
    <d v="2026-02-21T00:00:00"/>
    <s v="C004"/>
    <s v="P101"/>
    <n v="1"/>
    <n v="55000"/>
    <x v="2"/>
    <s v="South"/>
    <s v="Cash"/>
    <n v="55000"/>
    <s v="Laptop"/>
    <x v="1"/>
    <s v="Sneha Joshi"/>
    <x v="2"/>
    <s v="High"/>
  </r>
  <r>
    <n v="1096"/>
    <d v="2026-06-21T00:00:00"/>
    <s v="C008"/>
    <s v="P103"/>
    <n v="2"/>
    <n v="800"/>
    <x v="2"/>
    <s v="South"/>
    <s v="Net Banking"/>
    <n v="1600"/>
    <s v="Mouse"/>
    <x v="0"/>
    <s v="Pooja Deshmukh"/>
    <x v="3"/>
    <s v="Low"/>
  </r>
  <r>
    <n v="1097"/>
    <d v="2026-04-05T00:00:00"/>
    <s v="C013"/>
    <s v="P105"/>
    <n v="3"/>
    <n v="3500"/>
    <x v="2"/>
    <s v="Central"/>
    <s v="UPI"/>
    <n v="10500"/>
    <s v="Headphones"/>
    <x v="0"/>
    <s v="Akash Jain"/>
    <x v="2"/>
    <s v="Low"/>
  </r>
  <r>
    <n v="1098"/>
    <d v="2026-01-28T00:00:00"/>
    <s v="C005"/>
    <s v="P103"/>
    <n v="1"/>
    <n v="800"/>
    <x v="3"/>
    <s v="Central"/>
    <s v="Net Banking"/>
    <n v="800"/>
    <s v="Mouse"/>
    <x v="0"/>
    <s v="Rohit Singh"/>
    <x v="4"/>
    <s v="Low"/>
  </r>
  <r>
    <n v="1099"/>
    <d v="2026-02-20T00:00:00"/>
    <s v="C012"/>
    <s v="P107"/>
    <n v="2"/>
    <n v="22000"/>
    <x v="2"/>
    <s v="South"/>
    <s v="UPI"/>
    <n v="44000"/>
    <s v="Tablet"/>
    <x v="1"/>
    <s v="Riya Shah"/>
    <x v="7"/>
    <s v="Low"/>
  </r>
  <r>
    <n v="1100"/>
    <d v="2026-06-25T00:00:00"/>
    <s v="C014"/>
    <s v="P105"/>
    <n v="2"/>
    <n v="3500"/>
    <x v="2"/>
    <s v="North"/>
    <s v="Card"/>
    <n v="7000"/>
    <s v="Headphones"/>
    <x v="0"/>
    <s v="Komal Pawar"/>
    <x v="6"/>
    <s v="Low"/>
  </r>
  <r>
    <n v="1101"/>
    <d v="2026-06-19T00:00:00"/>
    <s v="C007"/>
    <s v="P109"/>
    <n v="6"/>
    <n v="900"/>
    <x v="1"/>
    <s v="Central"/>
    <s v="Card"/>
    <n v="5400"/>
    <s v="USB Drive"/>
    <x v="0"/>
    <s v="Karan Mehta"/>
    <x v="8"/>
    <s v="Low"/>
  </r>
  <r>
    <n v="1102"/>
    <d v="2026-04-18T00:00:00"/>
    <s v="C014"/>
    <s v="P101"/>
    <n v="8"/>
    <n v="55000"/>
    <x v="1"/>
    <s v="West"/>
    <s v="Card"/>
    <n v="440000"/>
    <s v="Laptop"/>
    <x v="1"/>
    <s v="Komal Pawar"/>
    <x v="6"/>
    <s v="High"/>
  </r>
  <r>
    <n v="1103"/>
    <d v="2026-02-09T00:00:00"/>
    <s v="C012"/>
    <s v="P108"/>
    <n v="7"/>
    <n v="3000"/>
    <x v="0"/>
    <s v="Central"/>
    <s v="Card"/>
    <n v="21000"/>
    <s v="Webcam"/>
    <x v="0"/>
    <s v="Riya Shah"/>
    <x v="7"/>
    <s v="Low"/>
  </r>
  <r>
    <n v="1104"/>
    <d v="2026-05-18T00:00:00"/>
    <s v="C013"/>
    <s v="P110"/>
    <n v="8"/>
    <n v="30000"/>
    <x v="5"/>
    <s v="West"/>
    <s v="Card"/>
    <n v="240000"/>
    <s v="Smartphone"/>
    <x v="1"/>
    <s v="Akash Jain"/>
    <x v="2"/>
    <s v="High"/>
  </r>
  <r>
    <n v="1105"/>
    <d v="2026-03-04T00:00:00"/>
    <s v="C014"/>
    <s v="P106"/>
    <n v="2"/>
    <n v="12000"/>
    <x v="3"/>
    <s v="West"/>
    <s v="Cash"/>
    <n v="24000"/>
    <s v="Printer"/>
    <x v="1"/>
    <s v="Komal Pawar"/>
    <x v="6"/>
    <s v="Low"/>
  </r>
  <r>
    <n v="1106"/>
    <d v="2026-06-06T00:00:00"/>
    <s v="C010"/>
    <s v="P108"/>
    <n v="7"/>
    <n v="3000"/>
    <x v="3"/>
    <s v="North"/>
    <s v="Net Banking"/>
    <n v="21000"/>
    <s v="Webcam"/>
    <x v="0"/>
    <s v="Anjali Kulkarni"/>
    <x v="0"/>
    <s v="Low"/>
  </r>
  <r>
    <n v="1107"/>
    <d v="2026-05-05T00:00:00"/>
    <s v="C003"/>
    <s v="P106"/>
    <n v="4"/>
    <n v="12000"/>
    <x v="3"/>
    <s v="East"/>
    <s v="Card"/>
    <n v="48000"/>
    <s v="Printer"/>
    <x v="1"/>
    <s v="Amit Verma"/>
    <x v="7"/>
    <s v="Low"/>
  </r>
  <r>
    <n v="1108"/>
    <d v="2026-06-02T00:00:00"/>
    <s v="C015"/>
    <s v="P105"/>
    <n v="5"/>
    <n v="3500"/>
    <x v="2"/>
    <s v="North"/>
    <s v="Cash"/>
    <n v="17500"/>
    <s v="Headphones"/>
    <x v="0"/>
    <s v="Nitin More"/>
    <x v="0"/>
    <s v="Low"/>
  </r>
  <r>
    <n v="1109"/>
    <d v="2026-04-15T00:00:00"/>
    <s v="C004"/>
    <s v="P102"/>
    <n v="8"/>
    <n v="2500"/>
    <x v="2"/>
    <s v="South"/>
    <s v="Net Banking"/>
    <n v="20000"/>
    <s v="Keyboard"/>
    <x v="0"/>
    <s v="Sneha Joshi"/>
    <x v="2"/>
    <s v="Low"/>
  </r>
  <r>
    <n v="1110"/>
    <d v="2026-01-05T00:00:00"/>
    <s v="C008"/>
    <s v="P108"/>
    <n v="2"/>
    <n v="3000"/>
    <x v="3"/>
    <s v="South"/>
    <s v="Net Banking"/>
    <n v="6000"/>
    <s v="Webcam"/>
    <x v="0"/>
    <s v="Pooja Deshmukh"/>
    <x v="3"/>
    <s v="Low"/>
  </r>
  <r>
    <n v="1111"/>
    <d v="2026-06-19T00:00:00"/>
    <s v="C005"/>
    <s v="P104"/>
    <n v="6"/>
    <n v="15000"/>
    <x v="5"/>
    <s v="Central"/>
    <s v="Card"/>
    <n v="90000"/>
    <s v="Monitor"/>
    <x v="1"/>
    <s v="Rohit Singh"/>
    <x v="4"/>
    <s v="High"/>
  </r>
  <r>
    <n v="1112"/>
    <d v="2026-05-21T00:00:00"/>
    <s v="C012"/>
    <s v="P107"/>
    <n v="6"/>
    <n v="22000"/>
    <x v="3"/>
    <s v="West"/>
    <s v="Card"/>
    <n v="132000"/>
    <s v="Tablet"/>
    <x v="1"/>
    <s v="Riya Shah"/>
    <x v="7"/>
    <s v="High"/>
  </r>
  <r>
    <n v="1113"/>
    <d v="2026-03-01T00:00:00"/>
    <s v="C005"/>
    <s v="P105"/>
    <n v="2"/>
    <n v="3500"/>
    <x v="4"/>
    <s v="South"/>
    <s v="Card"/>
    <n v="7000"/>
    <s v="Headphones"/>
    <x v="0"/>
    <s v="Rohit Singh"/>
    <x v="4"/>
    <s v="Low"/>
  </r>
  <r>
    <n v="1114"/>
    <d v="2026-05-18T00:00:00"/>
    <s v="C012"/>
    <s v="P102"/>
    <n v="3"/>
    <n v="2500"/>
    <x v="0"/>
    <s v="South"/>
    <s v="Net Banking"/>
    <n v="7500"/>
    <s v="Keyboard"/>
    <x v="0"/>
    <s v="Riya Shah"/>
    <x v="7"/>
    <s v="Low"/>
  </r>
  <r>
    <n v="1115"/>
    <d v="2026-05-31T00:00:00"/>
    <s v="C012"/>
    <s v="P105"/>
    <n v="5"/>
    <n v="3500"/>
    <x v="1"/>
    <s v="South"/>
    <s v="Card"/>
    <n v="17500"/>
    <s v="Headphones"/>
    <x v="0"/>
    <s v="Riya Shah"/>
    <x v="7"/>
    <s v="Low"/>
  </r>
  <r>
    <n v="1116"/>
    <d v="2026-02-15T00:00:00"/>
    <s v="C006"/>
    <s v="P104"/>
    <n v="5"/>
    <n v="15000"/>
    <x v="1"/>
    <s v="Central"/>
    <s v="Cash"/>
    <n v="75000"/>
    <s v="Monitor"/>
    <x v="1"/>
    <s v="Neha Gupta"/>
    <x v="6"/>
    <s v="High"/>
  </r>
  <r>
    <n v="1117"/>
    <d v="2026-01-14T00:00:00"/>
    <s v="C001"/>
    <s v="P105"/>
    <n v="5"/>
    <n v="3500"/>
    <x v="4"/>
    <s v="South"/>
    <s v="Net Banking"/>
    <n v="17500"/>
    <s v="Headphones"/>
    <x v="0"/>
    <s v="Rahul Sharma"/>
    <x v="0"/>
    <s v="Low"/>
  </r>
  <r>
    <n v="1118"/>
    <d v="2026-01-04T00:00:00"/>
    <s v="C014"/>
    <s v="P102"/>
    <n v="5"/>
    <n v="2500"/>
    <x v="5"/>
    <s v="West"/>
    <s v="Net Banking"/>
    <n v="12500"/>
    <s v="Keyboard"/>
    <x v="0"/>
    <s v="Komal Pawar"/>
    <x v="6"/>
    <s v="Low"/>
  </r>
  <r>
    <n v="1119"/>
    <d v="2026-01-14T00:00:00"/>
    <s v="C003"/>
    <s v="P106"/>
    <n v="5"/>
    <n v="12000"/>
    <x v="5"/>
    <s v="North"/>
    <s v="UPI"/>
    <n v="60000"/>
    <s v="Printer"/>
    <x v="1"/>
    <s v="Amit Verma"/>
    <x v="7"/>
    <s v="High"/>
  </r>
  <r>
    <n v="1120"/>
    <d v="2026-01-19T00:00:00"/>
    <s v="C008"/>
    <s v="P107"/>
    <n v="1"/>
    <n v="22000"/>
    <x v="0"/>
    <s v="South"/>
    <s v="Card"/>
    <n v="22000"/>
    <s v="Tablet"/>
    <x v="1"/>
    <s v="Pooja Deshmukh"/>
    <x v="3"/>
    <s v="Low"/>
  </r>
  <r>
    <n v="1121"/>
    <d v="2026-01-31T00:00:00"/>
    <s v="C004"/>
    <s v="P102"/>
    <n v="7"/>
    <n v="2500"/>
    <x v="2"/>
    <s v="Central"/>
    <s v="Cash"/>
    <n v="17500"/>
    <s v="Keyboard"/>
    <x v="0"/>
    <s v="Sneha Joshi"/>
    <x v="2"/>
    <s v="Low"/>
  </r>
  <r>
    <n v="1122"/>
    <d v="2026-04-26T00:00:00"/>
    <s v="C007"/>
    <s v="P109"/>
    <n v="8"/>
    <n v="900"/>
    <x v="3"/>
    <s v="Central"/>
    <s v="Net Banking"/>
    <n v="7200"/>
    <s v="USB Drive"/>
    <x v="0"/>
    <s v="Karan Mehta"/>
    <x v="8"/>
    <s v="Low"/>
  </r>
  <r>
    <n v="1123"/>
    <d v="2026-06-08T00:00:00"/>
    <s v="C010"/>
    <s v="P105"/>
    <n v="1"/>
    <n v="3500"/>
    <x v="2"/>
    <s v="North"/>
    <s v="Cash"/>
    <n v="3500"/>
    <s v="Headphones"/>
    <x v="0"/>
    <s v="Anjali Kulkarni"/>
    <x v="0"/>
    <s v="Low"/>
  </r>
  <r>
    <n v="1124"/>
    <d v="2026-06-19T00:00:00"/>
    <s v="C005"/>
    <s v="P104"/>
    <n v="2"/>
    <n v="15000"/>
    <x v="0"/>
    <s v="South"/>
    <s v="Cash"/>
    <n v="30000"/>
    <s v="Monitor"/>
    <x v="1"/>
    <s v="Rohit Singh"/>
    <x v="4"/>
    <s v="Low"/>
  </r>
  <r>
    <n v="1125"/>
    <d v="2026-02-10T00:00:00"/>
    <s v="C002"/>
    <s v="P109"/>
    <n v="1"/>
    <n v="900"/>
    <x v="5"/>
    <s v="West"/>
    <s v="Net Banking"/>
    <n v="900"/>
    <s v="USB Drive"/>
    <x v="0"/>
    <s v="Priya Patil"/>
    <x v="1"/>
    <s v="Low"/>
  </r>
  <r>
    <n v="1126"/>
    <d v="2026-03-01T00:00:00"/>
    <s v="C001"/>
    <s v="P105"/>
    <n v="5"/>
    <n v="3500"/>
    <x v="4"/>
    <s v="East"/>
    <s v="Net Banking"/>
    <n v="17500"/>
    <s v="Headphones"/>
    <x v="0"/>
    <s v="Rahul Sharma"/>
    <x v="0"/>
    <s v="Low"/>
  </r>
  <r>
    <n v="1127"/>
    <d v="2026-03-01T00:00:00"/>
    <s v="C011"/>
    <s v="P102"/>
    <n v="5"/>
    <n v="2500"/>
    <x v="4"/>
    <s v="Central"/>
    <s v="Cash"/>
    <n v="12500"/>
    <s v="Keyboard"/>
    <x v="0"/>
    <s v="Sahil Khan"/>
    <x v="1"/>
    <s v="Low"/>
  </r>
  <r>
    <n v="1128"/>
    <d v="2026-05-20T00:00:00"/>
    <s v="C002"/>
    <s v="P107"/>
    <n v="4"/>
    <n v="22000"/>
    <x v="4"/>
    <s v="South"/>
    <s v="Card"/>
    <n v="88000"/>
    <s v="Tablet"/>
    <x v="1"/>
    <s v="Priya Patil"/>
    <x v="1"/>
    <s v="High"/>
  </r>
  <r>
    <n v="1129"/>
    <d v="2026-01-16T00:00:00"/>
    <s v="C002"/>
    <s v="P103"/>
    <n v="3"/>
    <n v="800"/>
    <x v="3"/>
    <s v="Central"/>
    <s v="Card"/>
    <n v="2400"/>
    <s v="Mouse"/>
    <x v="0"/>
    <s v="Priya Patil"/>
    <x v="1"/>
    <s v="Low"/>
  </r>
  <r>
    <n v="1130"/>
    <d v="2026-04-30T00:00:00"/>
    <s v="C002"/>
    <s v="P108"/>
    <n v="5"/>
    <n v="3000"/>
    <x v="4"/>
    <s v="West"/>
    <s v="Card"/>
    <n v="15000"/>
    <s v="Webcam"/>
    <x v="0"/>
    <s v="Priya Patil"/>
    <x v="1"/>
    <s v="Low"/>
  </r>
  <r>
    <n v="1131"/>
    <d v="2026-05-07T00:00:00"/>
    <s v="C009"/>
    <s v="P109"/>
    <n v="8"/>
    <n v="900"/>
    <x v="1"/>
    <s v="Central"/>
    <s v="UPI"/>
    <n v="7200"/>
    <s v="USB Drive"/>
    <x v="0"/>
    <s v="Vikas Yadav"/>
    <x v="5"/>
    <s v="Low"/>
  </r>
  <r>
    <n v="1132"/>
    <d v="2026-03-24T00:00:00"/>
    <s v="C012"/>
    <s v="P107"/>
    <n v="5"/>
    <n v="22000"/>
    <x v="1"/>
    <s v="North"/>
    <s v="Cash"/>
    <n v="110000"/>
    <s v="Tablet"/>
    <x v="1"/>
    <s v="Riya Shah"/>
    <x v="7"/>
    <s v="High"/>
  </r>
  <r>
    <n v="1133"/>
    <d v="2026-01-06T00:00:00"/>
    <s v="C010"/>
    <s v="P110"/>
    <n v="5"/>
    <n v="30000"/>
    <x v="2"/>
    <s v="North"/>
    <s v="Cash"/>
    <n v="150000"/>
    <s v="Smartphone"/>
    <x v="1"/>
    <s v="Anjali Kulkarni"/>
    <x v="0"/>
    <s v="High"/>
  </r>
  <r>
    <n v="1134"/>
    <d v="2026-06-16T00:00:00"/>
    <s v="C009"/>
    <s v="P108"/>
    <n v="8"/>
    <n v="3000"/>
    <x v="3"/>
    <s v="South"/>
    <s v="Net Banking"/>
    <n v="24000"/>
    <s v="Webcam"/>
    <x v="0"/>
    <s v="Vikas Yadav"/>
    <x v="5"/>
    <s v="Low"/>
  </r>
  <r>
    <n v="1135"/>
    <d v="2026-05-01T00:00:00"/>
    <s v="C002"/>
    <s v="P108"/>
    <n v="6"/>
    <n v="3000"/>
    <x v="5"/>
    <s v="East"/>
    <s v="Card"/>
    <n v="18000"/>
    <s v="Webcam"/>
    <x v="0"/>
    <s v="Priya Patil"/>
    <x v="1"/>
    <s v="Low"/>
  </r>
  <r>
    <n v="1136"/>
    <d v="2026-02-11T00:00:00"/>
    <s v="C014"/>
    <s v="P102"/>
    <n v="6"/>
    <n v="2500"/>
    <x v="5"/>
    <s v="West"/>
    <s v="Card"/>
    <n v="15000"/>
    <s v="Keyboard"/>
    <x v="0"/>
    <s v="Komal Pawar"/>
    <x v="6"/>
    <s v="Low"/>
  </r>
  <r>
    <n v="1137"/>
    <d v="2026-05-21T00:00:00"/>
    <s v="C014"/>
    <s v="P107"/>
    <n v="1"/>
    <n v="22000"/>
    <x v="5"/>
    <s v="North"/>
    <s v="Card"/>
    <n v="22000"/>
    <s v="Tablet"/>
    <x v="1"/>
    <s v="Komal Pawar"/>
    <x v="6"/>
    <s v="Low"/>
  </r>
  <r>
    <n v="1138"/>
    <d v="2026-01-30T00:00:00"/>
    <s v="C006"/>
    <s v="P105"/>
    <n v="7"/>
    <n v="3500"/>
    <x v="2"/>
    <s v="North"/>
    <s v="Net Banking"/>
    <n v="24500"/>
    <s v="Headphones"/>
    <x v="0"/>
    <s v="Neha Gupta"/>
    <x v="6"/>
    <s v="Low"/>
  </r>
  <r>
    <n v="1139"/>
    <d v="2026-02-18T00:00:00"/>
    <s v="C001"/>
    <s v="P107"/>
    <n v="6"/>
    <n v="22000"/>
    <x v="2"/>
    <s v="West"/>
    <s v="Net Banking"/>
    <n v="132000"/>
    <s v="Tablet"/>
    <x v="1"/>
    <s v="Rahul Sharma"/>
    <x v="0"/>
    <s v="High"/>
  </r>
  <r>
    <n v="1140"/>
    <d v="2026-03-10T00:00:00"/>
    <s v="C004"/>
    <s v="P101"/>
    <n v="3"/>
    <n v="55000"/>
    <x v="3"/>
    <s v="West"/>
    <s v="Net Banking"/>
    <n v="165000"/>
    <s v="Laptop"/>
    <x v="1"/>
    <s v="Sneha Joshi"/>
    <x v="2"/>
    <s v="High"/>
  </r>
  <r>
    <n v="1141"/>
    <d v="2026-06-11T00:00:00"/>
    <s v="C001"/>
    <s v="P102"/>
    <n v="4"/>
    <n v="2500"/>
    <x v="4"/>
    <s v="South"/>
    <s v="Card"/>
    <n v="10000"/>
    <s v="Keyboard"/>
    <x v="0"/>
    <s v="Rahul Sharma"/>
    <x v="0"/>
    <s v="Low"/>
  </r>
  <r>
    <n v="1142"/>
    <d v="2026-05-22T00:00:00"/>
    <s v="C001"/>
    <s v="P109"/>
    <n v="7"/>
    <n v="900"/>
    <x v="1"/>
    <s v="South"/>
    <s v="UPI"/>
    <n v="6300"/>
    <s v="USB Drive"/>
    <x v="0"/>
    <s v="Rahul Sharma"/>
    <x v="0"/>
    <s v="Low"/>
  </r>
  <r>
    <n v="1143"/>
    <d v="2026-06-15T00:00:00"/>
    <s v="C002"/>
    <s v="P108"/>
    <n v="3"/>
    <n v="3000"/>
    <x v="5"/>
    <s v="East"/>
    <s v="Card"/>
    <n v="9000"/>
    <s v="Webcam"/>
    <x v="0"/>
    <s v="Priya Patil"/>
    <x v="1"/>
    <s v="Low"/>
  </r>
  <r>
    <n v="1144"/>
    <d v="2026-05-04T00:00:00"/>
    <s v="C014"/>
    <s v="P107"/>
    <n v="8"/>
    <n v="22000"/>
    <x v="0"/>
    <s v="West"/>
    <s v="Cash"/>
    <n v="176000"/>
    <s v="Tablet"/>
    <x v="1"/>
    <s v="Komal Pawar"/>
    <x v="6"/>
    <s v="High"/>
  </r>
  <r>
    <n v="1145"/>
    <d v="2026-06-03T00:00:00"/>
    <s v="C004"/>
    <s v="P107"/>
    <n v="3"/>
    <n v="22000"/>
    <x v="1"/>
    <s v="East"/>
    <s v="Net Banking"/>
    <n v="66000"/>
    <s v="Tablet"/>
    <x v="1"/>
    <s v="Sneha Joshi"/>
    <x v="2"/>
    <s v="High"/>
  </r>
  <r>
    <n v="1146"/>
    <d v="2026-05-10T00:00:00"/>
    <s v="C015"/>
    <s v="P106"/>
    <n v="5"/>
    <n v="12000"/>
    <x v="1"/>
    <s v="East"/>
    <s v="Card"/>
    <n v="60000"/>
    <s v="Printer"/>
    <x v="1"/>
    <s v="Nitin More"/>
    <x v="0"/>
    <s v="High"/>
  </r>
  <r>
    <n v="1147"/>
    <d v="2026-06-18T00:00:00"/>
    <s v="C010"/>
    <s v="P110"/>
    <n v="8"/>
    <n v="30000"/>
    <x v="0"/>
    <s v="West"/>
    <s v="Net Banking"/>
    <n v="240000"/>
    <s v="Smartphone"/>
    <x v="1"/>
    <s v="Anjali Kulkarni"/>
    <x v="0"/>
    <s v="High"/>
  </r>
  <r>
    <n v="1148"/>
    <d v="2026-05-22T00:00:00"/>
    <s v="C006"/>
    <s v="P106"/>
    <n v="7"/>
    <n v="12000"/>
    <x v="5"/>
    <s v="East"/>
    <s v="Cash"/>
    <n v="84000"/>
    <s v="Printer"/>
    <x v="1"/>
    <s v="Neha Gupta"/>
    <x v="6"/>
    <s v="High"/>
  </r>
  <r>
    <n v="1149"/>
    <d v="2026-04-09T00:00:00"/>
    <s v="C010"/>
    <s v="P104"/>
    <n v="4"/>
    <n v="15000"/>
    <x v="5"/>
    <s v="North"/>
    <s v="Card"/>
    <n v="60000"/>
    <s v="Monitor"/>
    <x v="1"/>
    <s v="Anjali Kulkarni"/>
    <x v="0"/>
    <s v="High"/>
  </r>
  <r>
    <n v="1150"/>
    <d v="2026-04-08T00:00:00"/>
    <s v="C012"/>
    <s v="P108"/>
    <n v="7"/>
    <n v="3000"/>
    <x v="4"/>
    <s v="South"/>
    <s v="Net Banking"/>
    <n v="21000"/>
    <s v="Webcam"/>
    <x v="0"/>
    <s v="Riya Shah"/>
    <x v="7"/>
    <s v="Low"/>
  </r>
  <r>
    <n v="1151"/>
    <d v="2026-05-09T00:00:00"/>
    <s v="C003"/>
    <s v="P101"/>
    <n v="6"/>
    <n v="55000"/>
    <x v="1"/>
    <s v="West"/>
    <s v="UPI"/>
    <n v="330000"/>
    <s v="Laptop"/>
    <x v="1"/>
    <s v="Amit Verma"/>
    <x v="7"/>
    <s v="High"/>
  </r>
  <r>
    <n v="1152"/>
    <d v="2026-04-27T00:00:00"/>
    <s v="C015"/>
    <s v="P109"/>
    <n v="1"/>
    <n v="900"/>
    <x v="4"/>
    <s v="South"/>
    <s v="Net Banking"/>
    <n v="900"/>
    <s v="USB Drive"/>
    <x v="0"/>
    <s v="Nitin More"/>
    <x v="0"/>
    <s v="Low"/>
  </r>
  <r>
    <n v="1153"/>
    <d v="2026-05-01T00:00:00"/>
    <s v="C002"/>
    <s v="P103"/>
    <n v="5"/>
    <n v="800"/>
    <x v="3"/>
    <s v="Central"/>
    <s v="Net Banking"/>
    <n v="4000"/>
    <s v="Mouse"/>
    <x v="0"/>
    <s v="Priya Patil"/>
    <x v="1"/>
    <s v="Low"/>
  </r>
  <r>
    <n v="1154"/>
    <d v="2026-03-26T00:00:00"/>
    <s v="C014"/>
    <s v="P102"/>
    <n v="7"/>
    <n v="2500"/>
    <x v="3"/>
    <s v="West"/>
    <s v="UPI"/>
    <n v="17500"/>
    <s v="Keyboard"/>
    <x v="0"/>
    <s v="Komal Pawar"/>
    <x v="6"/>
    <s v="Low"/>
  </r>
  <r>
    <n v="1155"/>
    <d v="2026-03-02T00:00:00"/>
    <s v="C002"/>
    <s v="P110"/>
    <n v="5"/>
    <n v="30000"/>
    <x v="0"/>
    <s v="North"/>
    <s v="Net Banking"/>
    <n v="150000"/>
    <s v="Smartphone"/>
    <x v="1"/>
    <s v="Priya Patil"/>
    <x v="1"/>
    <s v="High"/>
  </r>
  <r>
    <n v="1156"/>
    <d v="2026-06-12T00:00:00"/>
    <s v="C013"/>
    <s v="P102"/>
    <n v="2"/>
    <n v="2500"/>
    <x v="5"/>
    <s v="South"/>
    <s v="Card"/>
    <n v="5000"/>
    <s v="Keyboard"/>
    <x v="0"/>
    <s v="Akash Jain"/>
    <x v="2"/>
    <s v="Low"/>
  </r>
  <r>
    <n v="1157"/>
    <d v="2026-03-25T00:00:00"/>
    <s v="C001"/>
    <s v="P101"/>
    <n v="1"/>
    <n v="55000"/>
    <x v="3"/>
    <s v="East"/>
    <s v="Card"/>
    <n v="55000"/>
    <s v="Laptop"/>
    <x v="1"/>
    <s v="Rahul Sharma"/>
    <x v="0"/>
    <s v="High"/>
  </r>
  <r>
    <n v="1158"/>
    <d v="2026-03-04T00:00:00"/>
    <s v="C003"/>
    <s v="P107"/>
    <n v="7"/>
    <n v="22000"/>
    <x v="2"/>
    <s v="South"/>
    <s v="Cash"/>
    <n v="154000"/>
    <s v="Tablet"/>
    <x v="1"/>
    <s v="Amit Verma"/>
    <x v="7"/>
    <s v="High"/>
  </r>
  <r>
    <n v="1159"/>
    <d v="2026-06-06T00:00:00"/>
    <s v="C002"/>
    <s v="P103"/>
    <n v="7"/>
    <n v="800"/>
    <x v="2"/>
    <s v="South"/>
    <s v="Net Banking"/>
    <n v="5600"/>
    <s v="Mouse"/>
    <x v="0"/>
    <s v="Priya Patil"/>
    <x v="1"/>
    <s v="Low"/>
  </r>
  <r>
    <n v="1160"/>
    <d v="2026-03-01T00:00:00"/>
    <s v="C003"/>
    <s v="P110"/>
    <n v="8"/>
    <n v="30000"/>
    <x v="4"/>
    <s v="East"/>
    <s v="Net Banking"/>
    <n v="240000"/>
    <s v="Smartphone"/>
    <x v="1"/>
    <s v="Amit Verma"/>
    <x v="7"/>
    <s v="High"/>
  </r>
  <r>
    <n v="1161"/>
    <d v="2026-01-03T00:00:00"/>
    <s v="C011"/>
    <s v="P105"/>
    <n v="8"/>
    <n v="3500"/>
    <x v="3"/>
    <s v="Central"/>
    <s v="Cash"/>
    <n v="28000"/>
    <s v="Headphones"/>
    <x v="0"/>
    <s v="Sahil Khan"/>
    <x v="1"/>
    <s v="Low"/>
  </r>
  <r>
    <n v="1162"/>
    <d v="2026-03-30T00:00:00"/>
    <s v="C008"/>
    <s v="P102"/>
    <n v="5"/>
    <n v="2500"/>
    <x v="4"/>
    <s v="West"/>
    <s v="Card"/>
    <n v="12500"/>
    <s v="Keyboard"/>
    <x v="0"/>
    <s v="Pooja Deshmukh"/>
    <x v="3"/>
    <s v="Low"/>
  </r>
  <r>
    <n v="1163"/>
    <d v="2026-03-19T00:00:00"/>
    <s v="C014"/>
    <s v="P108"/>
    <n v="4"/>
    <n v="3000"/>
    <x v="5"/>
    <s v="West"/>
    <s v="UPI"/>
    <n v="12000"/>
    <s v="Webcam"/>
    <x v="0"/>
    <s v="Komal Pawar"/>
    <x v="6"/>
    <s v="Low"/>
  </r>
  <r>
    <n v="1164"/>
    <d v="2026-05-27T00:00:00"/>
    <s v="C007"/>
    <s v="P104"/>
    <n v="6"/>
    <n v="15000"/>
    <x v="2"/>
    <s v="East"/>
    <s v="Card"/>
    <n v="90000"/>
    <s v="Monitor"/>
    <x v="1"/>
    <s v="Karan Mehta"/>
    <x v="8"/>
    <s v="High"/>
  </r>
  <r>
    <n v="1165"/>
    <d v="2026-06-18T00:00:00"/>
    <s v="C014"/>
    <s v="P101"/>
    <n v="7"/>
    <n v="55000"/>
    <x v="3"/>
    <s v="North"/>
    <s v="UPI"/>
    <n v="385000"/>
    <s v="Laptop"/>
    <x v="1"/>
    <s v="Komal Pawar"/>
    <x v="6"/>
    <s v="High"/>
  </r>
  <r>
    <n v="1166"/>
    <d v="2026-05-08T00:00:00"/>
    <s v="C012"/>
    <s v="P110"/>
    <n v="5"/>
    <n v="30000"/>
    <x v="0"/>
    <s v="Central"/>
    <s v="Card"/>
    <n v="150000"/>
    <s v="Smartphone"/>
    <x v="1"/>
    <s v="Riya Shah"/>
    <x v="7"/>
    <s v="High"/>
  </r>
  <r>
    <n v="1167"/>
    <d v="2026-02-18T00:00:00"/>
    <s v="C011"/>
    <s v="P104"/>
    <n v="5"/>
    <n v="15000"/>
    <x v="4"/>
    <s v="South"/>
    <s v="UPI"/>
    <n v="75000"/>
    <s v="Monitor"/>
    <x v="1"/>
    <s v="Sahil Khan"/>
    <x v="1"/>
    <s v="High"/>
  </r>
  <r>
    <n v="1168"/>
    <d v="2026-04-23T00:00:00"/>
    <s v="C005"/>
    <s v="P101"/>
    <n v="1"/>
    <n v="55000"/>
    <x v="2"/>
    <s v="East"/>
    <s v="Cash"/>
    <n v="55000"/>
    <s v="Laptop"/>
    <x v="1"/>
    <s v="Rohit Singh"/>
    <x v="4"/>
    <s v="High"/>
  </r>
  <r>
    <n v="1169"/>
    <d v="2026-03-17T00:00:00"/>
    <s v="C015"/>
    <s v="P102"/>
    <n v="6"/>
    <n v="2500"/>
    <x v="4"/>
    <s v="West"/>
    <s v="Cash"/>
    <n v="15000"/>
    <s v="Keyboard"/>
    <x v="0"/>
    <s v="Nitin More"/>
    <x v="0"/>
    <s v="Low"/>
  </r>
  <r>
    <n v="1170"/>
    <d v="2026-05-19T00:00:00"/>
    <s v="C003"/>
    <s v="P104"/>
    <n v="6"/>
    <n v="15000"/>
    <x v="2"/>
    <s v="Central"/>
    <s v="Card"/>
    <n v="90000"/>
    <s v="Monitor"/>
    <x v="1"/>
    <s v="Amit Verma"/>
    <x v="7"/>
    <s v="High"/>
  </r>
  <r>
    <n v="1171"/>
    <d v="2026-05-04T00:00:00"/>
    <s v="C005"/>
    <s v="P103"/>
    <n v="5"/>
    <n v="800"/>
    <x v="4"/>
    <s v="East"/>
    <s v="UPI"/>
    <n v="4000"/>
    <s v="Mouse"/>
    <x v="0"/>
    <s v="Rohit Singh"/>
    <x v="4"/>
    <s v="Low"/>
  </r>
  <r>
    <n v="1172"/>
    <d v="2026-02-06T00:00:00"/>
    <s v="C002"/>
    <s v="P108"/>
    <n v="4"/>
    <n v="3000"/>
    <x v="4"/>
    <s v="West"/>
    <s v="Card"/>
    <n v="12000"/>
    <s v="Webcam"/>
    <x v="0"/>
    <s v="Priya Patil"/>
    <x v="1"/>
    <s v="Low"/>
  </r>
  <r>
    <n v="1173"/>
    <d v="2026-04-12T00:00:00"/>
    <s v="C013"/>
    <s v="P102"/>
    <n v="1"/>
    <n v="2500"/>
    <x v="3"/>
    <s v="Central"/>
    <s v="UPI"/>
    <n v="2500"/>
    <s v="Keyboard"/>
    <x v="0"/>
    <s v="Akash Jain"/>
    <x v="2"/>
    <s v="Low"/>
  </r>
  <r>
    <n v="1174"/>
    <d v="2026-06-22T00:00:00"/>
    <s v="C006"/>
    <s v="P108"/>
    <n v="5"/>
    <n v="3000"/>
    <x v="2"/>
    <s v="West"/>
    <s v="Card"/>
    <n v="15000"/>
    <s v="Webcam"/>
    <x v="0"/>
    <s v="Neha Gupta"/>
    <x v="6"/>
    <s v="Low"/>
  </r>
  <r>
    <n v="1175"/>
    <d v="2026-03-01T00:00:00"/>
    <s v="C011"/>
    <s v="P102"/>
    <n v="8"/>
    <n v="2500"/>
    <x v="1"/>
    <s v="Central"/>
    <s v="Card"/>
    <n v="20000"/>
    <s v="Keyboard"/>
    <x v="0"/>
    <s v="Sahil Khan"/>
    <x v="1"/>
    <s v="Low"/>
  </r>
  <r>
    <n v="1176"/>
    <d v="2026-06-15T00:00:00"/>
    <s v="C004"/>
    <s v="P110"/>
    <n v="2"/>
    <n v="30000"/>
    <x v="4"/>
    <s v="West"/>
    <s v="Card"/>
    <n v="60000"/>
    <s v="Smartphone"/>
    <x v="1"/>
    <s v="Sneha Joshi"/>
    <x v="2"/>
    <s v="High"/>
  </r>
  <r>
    <n v="1177"/>
    <d v="2026-02-05T00:00:00"/>
    <s v="C002"/>
    <s v="P107"/>
    <n v="1"/>
    <n v="22000"/>
    <x v="1"/>
    <s v="East"/>
    <s v="Net Banking"/>
    <n v="22000"/>
    <s v="Tablet"/>
    <x v="1"/>
    <s v="Priya Patil"/>
    <x v="1"/>
    <s v="Low"/>
  </r>
  <r>
    <n v="1178"/>
    <d v="2026-03-02T00:00:00"/>
    <s v="C002"/>
    <s v="P102"/>
    <n v="3"/>
    <n v="2500"/>
    <x v="5"/>
    <s v="West"/>
    <s v="Card"/>
    <n v="7500"/>
    <s v="Keyboard"/>
    <x v="0"/>
    <s v="Priya Patil"/>
    <x v="1"/>
    <s v="Low"/>
  </r>
  <r>
    <n v="1179"/>
    <d v="2026-05-31T00:00:00"/>
    <s v="C007"/>
    <s v="P109"/>
    <n v="3"/>
    <n v="900"/>
    <x v="5"/>
    <s v="North"/>
    <s v="Net Banking"/>
    <n v="2700"/>
    <s v="USB Drive"/>
    <x v="0"/>
    <s v="Karan Mehta"/>
    <x v="8"/>
    <s v="Low"/>
  </r>
  <r>
    <n v="1180"/>
    <d v="2026-03-13T00:00:00"/>
    <s v="C007"/>
    <s v="P110"/>
    <n v="1"/>
    <n v="30000"/>
    <x v="4"/>
    <s v="East"/>
    <s v="Cash"/>
    <n v="30000"/>
    <s v="Smartphone"/>
    <x v="1"/>
    <s v="Karan Mehta"/>
    <x v="8"/>
    <s v="Low"/>
  </r>
  <r>
    <n v="1181"/>
    <d v="2026-03-02T00:00:00"/>
    <s v="C008"/>
    <s v="P108"/>
    <n v="6"/>
    <n v="3000"/>
    <x v="1"/>
    <s v="East"/>
    <s v="Card"/>
    <n v="18000"/>
    <s v="Webcam"/>
    <x v="0"/>
    <s v="Pooja Deshmukh"/>
    <x v="3"/>
    <s v="Low"/>
  </r>
  <r>
    <n v="1182"/>
    <d v="2026-03-12T00:00:00"/>
    <s v="C007"/>
    <s v="P101"/>
    <n v="4"/>
    <n v="55000"/>
    <x v="1"/>
    <s v="West"/>
    <s v="UPI"/>
    <n v="220000"/>
    <s v="Laptop"/>
    <x v="1"/>
    <s v="Karan Mehta"/>
    <x v="8"/>
    <s v="High"/>
  </r>
  <r>
    <n v="1183"/>
    <d v="2026-06-13T00:00:00"/>
    <s v="C011"/>
    <s v="P104"/>
    <n v="1"/>
    <n v="15000"/>
    <x v="1"/>
    <s v="East"/>
    <s v="Cash"/>
    <n v="15000"/>
    <s v="Monitor"/>
    <x v="1"/>
    <s v="Sahil Khan"/>
    <x v="1"/>
    <s v="Low"/>
  </r>
  <r>
    <n v="1184"/>
    <d v="2026-05-25T00:00:00"/>
    <s v="C013"/>
    <s v="P103"/>
    <n v="4"/>
    <n v="800"/>
    <x v="1"/>
    <s v="Central"/>
    <s v="Cash"/>
    <n v="3200"/>
    <s v="Mouse"/>
    <x v="0"/>
    <s v="Akash Jain"/>
    <x v="2"/>
    <s v="Low"/>
  </r>
  <r>
    <n v="1185"/>
    <d v="2026-03-01T00:00:00"/>
    <s v="C004"/>
    <s v="P110"/>
    <n v="6"/>
    <n v="30000"/>
    <x v="0"/>
    <s v="Central"/>
    <s v="UPI"/>
    <n v="180000"/>
    <s v="Smartphone"/>
    <x v="1"/>
    <s v="Sneha Joshi"/>
    <x v="2"/>
    <s v="High"/>
  </r>
  <r>
    <n v="1186"/>
    <d v="2026-02-07T00:00:00"/>
    <s v="C014"/>
    <s v="P105"/>
    <n v="3"/>
    <n v="3500"/>
    <x v="2"/>
    <s v="East"/>
    <s v="Cash"/>
    <n v="10500"/>
    <s v="Headphones"/>
    <x v="0"/>
    <s v="Komal Pawar"/>
    <x v="6"/>
    <s v="Low"/>
  </r>
  <r>
    <n v="1187"/>
    <d v="2026-01-07T00:00:00"/>
    <s v="C011"/>
    <s v="P102"/>
    <n v="3"/>
    <n v="2500"/>
    <x v="1"/>
    <s v="East"/>
    <s v="Cash"/>
    <n v="7500"/>
    <s v="Keyboard"/>
    <x v="0"/>
    <s v="Sahil Khan"/>
    <x v="1"/>
    <s v="Low"/>
  </r>
  <r>
    <n v="1188"/>
    <d v="2026-01-05T00:00:00"/>
    <s v="C006"/>
    <s v="P110"/>
    <n v="3"/>
    <n v="30000"/>
    <x v="3"/>
    <s v="North"/>
    <s v="Cash"/>
    <n v="90000"/>
    <s v="Smartphone"/>
    <x v="1"/>
    <s v="Neha Gupta"/>
    <x v="6"/>
    <s v="High"/>
  </r>
  <r>
    <n v="1189"/>
    <d v="2026-01-30T00:00:00"/>
    <s v="C009"/>
    <s v="P107"/>
    <n v="2"/>
    <n v="22000"/>
    <x v="5"/>
    <s v="West"/>
    <s v="Card"/>
    <n v="44000"/>
    <s v="Tablet"/>
    <x v="1"/>
    <s v="Vikas Yadav"/>
    <x v="5"/>
    <s v="Low"/>
  </r>
  <r>
    <n v="1190"/>
    <d v="2026-01-28T00:00:00"/>
    <s v="C010"/>
    <s v="P109"/>
    <n v="8"/>
    <n v="900"/>
    <x v="2"/>
    <s v="South"/>
    <s v="UPI"/>
    <n v="7200"/>
    <s v="USB Drive"/>
    <x v="0"/>
    <s v="Anjali Kulkarni"/>
    <x v="0"/>
    <s v="Low"/>
  </r>
  <r>
    <n v="1191"/>
    <d v="2026-04-28T00:00:00"/>
    <s v="C005"/>
    <s v="P109"/>
    <n v="1"/>
    <n v="900"/>
    <x v="1"/>
    <s v="West"/>
    <s v="Net Banking"/>
    <n v="900"/>
    <s v="USB Drive"/>
    <x v="0"/>
    <s v="Rohit Singh"/>
    <x v="4"/>
    <s v="Low"/>
  </r>
  <r>
    <n v="1192"/>
    <d v="2026-01-28T00:00:00"/>
    <s v="C011"/>
    <s v="P107"/>
    <n v="8"/>
    <n v="22000"/>
    <x v="4"/>
    <s v="West"/>
    <s v="UPI"/>
    <n v="176000"/>
    <s v="Tablet"/>
    <x v="1"/>
    <s v="Sahil Khan"/>
    <x v="1"/>
    <s v="High"/>
  </r>
  <r>
    <n v="1193"/>
    <d v="2026-06-05T00:00:00"/>
    <s v="C006"/>
    <s v="P102"/>
    <n v="3"/>
    <n v="2500"/>
    <x v="1"/>
    <s v="South"/>
    <s v="Card"/>
    <n v="7500"/>
    <s v="Keyboard"/>
    <x v="0"/>
    <s v="Neha Gupta"/>
    <x v="6"/>
    <s v="Low"/>
  </r>
  <r>
    <n v="1194"/>
    <d v="2026-05-30T00:00:00"/>
    <s v="C011"/>
    <s v="P110"/>
    <n v="6"/>
    <n v="30000"/>
    <x v="5"/>
    <s v="Central"/>
    <s v="Card"/>
    <n v="180000"/>
    <s v="Smartphone"/>
    <x v="1"/>
    <s v="Sahil Khan"/>
    <x v="1"/>
    <s v="High"/>
  </r>
  <r>
    <n v="1195"/>
    <d v="2026-06-04T00:00:00"/>
    <s v="C009"/>
    <s v="P108"/>
    <n v="7"/>
    <n v="3000"/>
    <x v="1"/>
    <s v="North"/>
    <s v="Cash"/>
    <n v="21000"/>
    <s v="Webcam"/>
    <x v="0"/>
    <s v="Vikas Yadav"/>
    <x v="5"/>
    <s v="Low"/>
  </r>
  <r>
    <n v="1196"/>
    <d v="2026-02-28T00:00:00"/>
    <s v="C008"/>
    <s v="P107"/>
    <n v="7"/>
    <n v="22000"/>
    <x v="3"/>
    <s v="West"/>
    <s v="Net Banking"/>
    <n v="154000"/>
    <s v="Tablet"/>
    <x v="1"/>
    <s v="Pooja Deshmukh"/>
    <x v="3"/>
    <s v="High"/>
  </r>
  <r>
    <n v="1197"/>
    <d v="2026-01-25T00:00:00"/>
    <s v="C012"/>
    <s v="P107"/>
    <n v="6"/>
    <n v="22000"/>
    <x v="5"/>
    <s v="East"/>
    <s v="Card"/>
    <n v="132000"/>
    <s v="Tablet"/>
    <x v="1"/>
    <s v="Riya Shah"/>
    <x v="7"/>
    <s v="High"/>
  </r>
  <r>
    <n v="1198"/>
    <d v="2026-06-25T00:00:00"/>
    <s v="C003"/>
    <s v="P106"/>
    <n v="8"/>
    <n v="12000"/>
    <x v="1"/>
    <s v="North"/>
    <s v="UPI"/>
    <n v="96000"/>
    <s v="Printer"/>
    <x v="1"/>
    <s v="Amit Verma"/>
    <x v="7"/>
    <s v="High"/>
  </r>
  <r>
    <n v="1199"/>
    <d v="2026-01-25T00:00:00"/>
    <s v="C007"/>
    <s v="P102"/>
    <n v="6"/>
    <n v="2500"/>
    <x v="0"/>
    <s v="Central"/>
    <s v="UPI"/>
    <n v="15000"/>
    <s v="Keyboard"/>
    <x v="0"/>
    <s v="Karan Mehta"/>
    <x v="8"/>
    <s v="Low"/>
  </r>
  <r>
    <n v="1200"/>
    <d v="2026-05-24T00:00:00"/>
    <s v="C009"/>
    <s v="P110"/>
    <n v="6"/>
    <n v="30000"/>
    <x v="4"/>
    <s v="North"/>
    <s v="Net Banking"/>
    <n v="180000"/>
    <s v="Smartphone"/>
    <x v="1"/>
    <s v="Vikas Yadav"/>
    <x v="5"/>
    <s v="High"/>
  </r>
  <r>
    <n v="1201"/>
    <d v="2026-06-20T00:00:00"/>
    <s v="C014"/>
    <s v="P106"/>
    <n v="7"/>
    <n v="12000"/>
    <x v="4"/>
    <s v="North"/>
    <s v="Card"/>
    <n v="84000"/>
    <s v="Printer"/>
    <x v="1"/>
    <s v="Komal Pawar"/>
    <x v="6"/>
    <s v="High"/>
  </r>
  <r>
    <n v="1202"/>
    <d v="2026-04-01T00:00:00"/>
    <s v="C005"/>
    <s v="P110"/>
    <n v="2"/>
    <n v="30000"/>
    <x v="2"/>
    <s v="Central"/>
    <s v="Cash"/>
    <n v="60000"/>
    <s v="Smartphone"/>
    <x v="1"/>
    <s v="Rohit Singh"/>
    <x v="4"/>
    <s v="High"/>
  </r>
  <r>
    <n v="1203"/>
    <d v="2026-05-04T00:00:00"/>
    <s v="C011"/>
    <s v="P103"/>
    <n v="4"/>
    <n v="800"/>
    <x v="1"/>
    <s v="East"/>
    <s v="Card"/>
    <n v="3200"/>
    <s v="Mouse"/>
    <x v="0"/>
    <s v="Sahil Khan"/>
    <x v="1"/>
    <s v="Low"/>
  </r>
  <r>
    <n v="1204"/>
    <d v="2026-03-13T00:00:00"/>
    <s v="C013"/>
    <s v="P102"/>
    <n v="4"/>
    <n v="2500"/>
    <x v="5"/>
    <s v="Central"/>
    <s v="UPI"/>
    <n v="10000"/>
    <s v="Keyboard"/>
    <x v="0"/>
    <s v="Akash Jain"/>
    <x v="2"/>
    <s v="Low"/>
  </r>
  <r>
    <n v="1205"/>
    <d v="2026-06-18T00:00:00"/>
    <s v="C015"/>
    <s v="P110"/>
    <n v="5"/>
    <n v="30000"/>
    <x v="1"/>
    <s v="South"/>
    <s v="Card"/>
    <n v="150000"/>
    <s v="Smartphone"/>
    <x v="1"/>
    <s v="Nitin More"/>
    <x v="0"/>
    <s v="High"/>
  </r>
  <r>
    <n v="1206"/>
    <d v="2026-03-28T00:00:00"/>
    <s v="C015"/>
    <s v="P105"/>
    <n v="6"/>
    <n v="3500"/>
    <x v="1"/>
    <s v="South"/>
    <s v="Cash"/>
    <n v="21000"/>
    <s v="Headphones"/>
    <x v="0"/>
    <s v="Nitin More"/>
    <x v="0"/>
    <s v="Low"/>
  </r>
  <r>
    <n v="1207"/>
    <d v="2026-04-13T00:00:00"/>
    <s v="C011"/>
    <s v="P110"/>
    <n v="2"/>
    <n v="30000"/>
    <x v="0"/>
    <s v="North"/>
    <s v="UPI"/>
    <n v="60000"/>
    <s v="Smartphone"/>
    <x v="1"/>
    <s v="Sahil Khan"/>
    <x v="1"/>
    <s v="High"/>
  </r>
  <r>
    <n v="1208"/>
    <d v="2026-04-07T00:00:00"/>
    <s v="C004"/>
    <s v="P109"/>
    <n v="7"/>
    <n v="900"/>
    <x v="5"/>
    <s v="East"/>
    <s v="Cash"/>
    <n v="6300"/>
    <s v="USB Drive"/>
    <x v="0"/>
    <s v="Sneha Joshi"/>
    <x v="2"/>
    <s v="Low"/>
  </r>
  <r>
    <n v="1209"/>
    <d v="2026-03-25T00:00:00"/>
    <s v="C005"/>
    <s v="P106"/>
    <n v="2"/>
    <n v="12000"/>
    <x v="1"/>
    <s v="South"/>
    <s v="Cash"/>
    <n v="24000"/>
    <s v="Printer"/>
    <x v="1"/>
    <s v="Rohit Singh"/>
    <x v="4"/>
    <s v="Low"/>
  </r>
  <r>
    <n v="1210"/>
    <d v="2026-06-22T00:00:00"/>
    <s v="C001"/>
    <s v="P110"/>
    <n v="2"/>
    <n v="30000"/>
    <x v="3"/>
    <s v="West"/>
    <s v="Net Banking"/>
    <n v="60000"/>
    <s v="Smartphone"/>
    <x v="1"/>
    <s v="Rahul Sharma"/>
    <x v="0"/>
    <s v="High"/>
  </r>
  <r>
    <n v="1211"/>
    <d v="2026-04-24T00:00:00"/>
    <s v="C010"/>
    <s v="P108"/>
    <n v="7"/>
    <n v="3000"/>
    <x v="3"/>
    <s v="South"/>
    <s v="UPI"/>
    <n v="21000"/>
    <s v="Webcam"/>
    <x v="0"/>
    <s v="Anjali Kulkarni"/>
    <x v="0"/>
    <s v="Low"/>
  </r>
  <r>
    <n v="1212"/>
    <d v="2026-01-29T00:00:00"/>
    <s v="C007"/>
    <s v="P106"/>
    <n v="5"/>
    <n v="12000"/>
    <x v="4"/>
    <s v="Central"/>
    <s v="Net Banking"/>
    <n v="60000"/>
    <s v="Printer"/>
    <x v="1"/>
    <s v="Karan Mehta"/>
    <x v="8"/>
    <s v="High"/>
  </r>
  <r>
    <n v="1213"/>
    <d v="2026-03-20T00:00:00"/>
    <s v="C011"/>
    <s v="P109"/>
    <n v="1"/>
    <n v="900"/>
    <x v="0"/>
    <s v="West"/>
    <s v="UPI"/>
    <n v="900"/>
    <s v="USB Drive"/>
    <x v="0"/>
    <s v="Sahil Khan"/>
    <x v="1"/>
    <s v="Low"/>
  </r>
  <r>
    <n v="1214"/>
    <d v="2026-03-19T00:00:00"/>
    <s v="C004"/>
    <s v="P101"/>
    <n v="4"/>
    <n v="55000"/>
    <x v="0"/>
    <s v="East"/>
    <s v="Card"/>
    <n v="220000"/>
    <s v="Laptop"/>
    <x v="1"/>
    <s v="Sneha Joshi"/>
    <x v="2"/>
    <s v="High"/>
  </r>
  <r>
    <n v="1215"/>
    <d v="2026-01-02T00:00:00"/>
    <s v="C002"/>
    <s v="P106"/>
    <n v="8"/>
    <n v="12000"/>
    <x v="4"/>
    <s v="West"/>
    <s v="Cash"/>
    <n v="96000"/>
    <s v="Printer"/>
    <x v="1"/>
    <s v="Priya Patil"/>
    <x v="1"/>
    <s v="High"/>
  </r>
  <r>
    <n v="1216"/>
    <d v="2026-05-17T00:00:00"/>
    <s v="C007"/>
    <s v="P103"/>
    <n v="4"/>
    <n v="800"/>
    <x v="2"/>
    <s v="Central"/>
    <s v="Card"/>
    <n v="3200"/>
    <s v="Mouse"/>
    <x v="0"/>
    <s v="Karan Mehta"/>
    <x v="8"/>
    <s v="Low"/>
  </r>
  <r>
    <n v="1217"/>
    <d v="2026-01-11T00:00:00"/>
    <s v="C007"/>
    <s v="P102"/>
    <n v="7"/>
    <n v="2500"/>
    <x v="1"/>
    <s v="West"/>
    <s v="UPI"/>
    <n v="17500"/>
    <s v="Keyboard"/>
    <x v="0"/>
    <s v="Karan Mehta"/>
    <x v="8"/>
    <s v="Low"/>
  </r>
  <r>
    <n v="1218"/>
    <d v="2026-04-20T00:00:00"/>
    <s v="C010"/>
    <s v="P106"/>
    <n v="7"/>
    <n v="12000"/>
    <x v="4"/>
    <s v="West"/>
    <s v="Card"/>
    <n v="84000"/>
    <s v="Printer"/>
    <x v="1"/>
    <s v="Anjali Kulkarni"/>
    <x v="0"/>
    <s v="High"/>
  </r>
  <r>
    <n v="1219"/>
    <d v="2026-01-06T00:00:00"/>
    <s v="C007"/>
    <s v="P102"/>
    <n v="6"/>
    <n v="2500"/>
    <x v="0"/>
    <s v="Central"/>
    <s v="Net Banking"/>
    <n v="15000"/>
    <s v="Keyboard"/>
    <x v="0"/>
    <s v="Karan Mehta"/>
    <x v="8"/>
    <s v="Low"/>
  </r>
  <r>
    <n v="1220"/>
    <d v="2026-04-22T00:00:00"/>
    <s v="C002"/>
    <s v="P106"/>
    <n v="2"/>
    <n v="12000"/>
    <x v="0"/>
    <s v="West"/>
    <s v="Net Banking"/>
    <n v="24000"/>
    <s v="Printer"/>
    <x v="1"/>
    <s v="Priya Patil"/>
    <x v="1"/>
    <s v="Low"/>
  </r>
  <r>
    <n v="1221"/>
    <d v="2026-04-12T00:00:00"/>
    <s v="C002"/>
    <s v="P109"/>
    <n v="5"/>
    <n v="900"/>
    <x v="4"/>
    <s v="East"/>
    <s v="Cash"/>
    <n v="4500"/>
    <s v="USB Drive"/>
    <x v="0"/>
    <s v="Priya Patil"/>
    <x v="1"/>
    <s v="Low"/>
  </r>
  <r>
    <n v="1222"/>
    <d v="2026-02-13T00:00:00"/>
    <s v="C013"/>
    <s v="P106"/>
    <n v="2"/>
    <n v="12000"/>
    <x v="2"/>
    <s v="North"/>
    <s v="Cash"/>
    <n v="24000"/>
    <s v="Printer"/>
    <x v="1"/>
    <s v="Akash Jain"/>
    <x v="2"/>
    <s v="Low"/>
  </r>
  <r>
    <n v="1223"/>
    <d v="2026-06-15T00:00:00"/>
    <s v="C006"/>
    <s v="P106"/>
    <n v="3"/>
    <n v="12000"/>
    <x v="0"/>
    <s v="North"/>
    <s v="Cash"/>
    <n v="36000"/>
    <s v="Printer"/>
    <x v="1"/>
    <s v="Neha Gupta"/>
    <x v="6"/>
    <s v="Low"/>
  </r>
  <r>
    <n v="1224"/>
    <d v="2026-02-14T00:00:00"/>
    <s v="C004"/>
    <s v="P105"/>
    <n v="3"/>
    <n v="3500"/>
    <x v="4"/>
    <s v="North"/>
    <s v="Cash"/>
    <n v="10500"/>
    <s v="Headphones"/>
    <x v="0"/>
    <s v="Sneha Joshi"/>
    <x v="2"/>
    <s v="Low"/>
  </r>
  <r>
    <n v="1225"/>
    <d v="2026-05-25T00:00:00"/>
    <s v="C008"/>
    <s v="P108"/>
    <n v="8"/>
    <n v="3000"/>
    <x v="4"/>
    <s v="Central"/>
    <s v="Card"/>
    <n v="24000"/>
    <s v="Webcam"/>
    <x v="0"/>
    <s v="Pooja Deshmukh"/>
    <x v="3"/>
    <s v="Low"/>
  </r>
  <r>
    <n v="1226"/>
    <d v="2026-04-23T00:00:00"/>
    <s v="C003"/>
    <s v="P106"/>
    <n v="2"/>
    <n v="12000"/>
    <x v="5"/>
    <s v="West"/>
    <s v="Card"/>
    <n v="24000"/>
    <s v="Printer"/>
    <x v="1"/>
    <s v="Amit Verma"/>
    <x v="7"/>
    <s v="Low"/>
  </r>
  <r>
    <n v="1227"/>
    <d v="2026-01-15T00:00:00"/>
    <s v="C010"/>
    <s v="P105"/>
    <n v="6"/>
    <n v="3500"/>
    <x v="2"/>
    <s v="North"/>
    <s v="Card"/>
    <n v="21000"/>
    <s v="Headphones"/>
    <x v="0"/>
    <s v="Anjali Kulkarni"/>
    <x v="0"/>
    <s v="Low"/>
  </r>
  <r>
    <n v="1228"/>
    <d v="2026-01-10T00:00:00"/>
    <s v="C008"/>
    <s v="P108"/>
    <n v="1"/>
    <n v="3000"/>
    <x v="3"/>
    <s v="East"/>
    <s v="UPI"/>
    <n v="3000"/>
    <s v="Webcam"/>
    <x v="0"/>
    <s v="Pooja Deshmukh"/>
    <x v="3"/>
    <s v="Low"/>
  </r>
  <r>
    <n v="1229"/>
    <d v="2026-06-02T00:00:00"/>
    <s v="C010"/>
    <s v="P102"/>
    <n v="7"/>
    <n v="2500"/>
    <x v="5"/>
    <s v="Central"/>
    <s v="UPI"/>
    <n v="17500"/>
    <s v="Keyboard"/>
    <x v="0"/>
    <s v="Anjali Kulkarni"/>
    <x v="0"/>
    <s v="Low"/>
  </r>
  <r>
    <n v="1230"/>
    <d v="2026-05-27T00:00:00"/>
    <s v="C015"/>
    <s v="P108"/>
    <n v="4"/>
    <n v="3000"/>
    <x v="3"/>
    <s v="Central"/>
    <s v="Net Banking"/>
    <n v="12000"/>
    <s v="Webcam"/>
    <x v="0"/>
    <s v="Nitin More"/>
    <x v="0"/>
    <s v="Low"/>
  </r>
  <r>
    <n v="1231"/>
    <d v="2026-01-16T00:00:00"/>
    <s v="C003"/>
    <s v="P109"/>
    <n v="8"/>
    <n v="900"/>
    <x v="1"/>
    <s v="East"/>
    <s v="UPI"/>
    <n v="7200"/>
    <s v="USB Drive"/>
    <x v="0"/>
    <s v="Amit Verma"/>
    <x v="7"/>
    <s v="Low"/>
  </r>
  <r>
    <n v="1232"/>
    <d v="2026-02-14T00:00:00"/>
    <s v="C011"/>
    <s v="P109"/>
    <n v="1"/>
    <n v="900"/>
    <x v="0"/>
    <s v="West"/>
    <s v="Net Banking"/>
    <n v="900"/>
    <s v="USB Drive"/>
    <x v="0"/>
    <s v="Sahil Khan"/>
    <x v="1"/>
    <s v="Low"/>
  </r>
  <r>
    <n v="1233"/>
    <d v="2026-06-06T00:00:00"/>
    <s v="C009"/>
    <s v="P109"/>
    <n v="3"/>
    <n v="900"/>
    <x v="3"/>
    <s v="East"/>
    <s v="Card"/>
    <n v="2700"/>
    <s v="USB Drive"/>
    <x v="0"/>
    <s v="Vikas Yadav"/>
    <x v="5"/>
    <s v="Low"/>
  </r>
  <r>
    <n v="1234"/>
    <d v="2026-03-28T00:00:00"/>
    <s v="C007"/>
    <s v="P107"/>
    <n v="1"/>
    <n v="22000"/>
    <x v="4"/>
    <s v="East"/>
    <s v="UPI"/>
    <n v="22000"/>
    <s v="Tablet"/>
    <x v="1"/>
    <s v="Karan Mehta"/>
    <x v="8"/>
    <s v="Low"/>
  </r>
  <r>
    <n v="1235"/>
    <d v="2026-05-23T00:00:00"/>
    <s v="C002"/>
    <s v="P106"/>
    <n v="7"/>
    <n v="12000"/>
    <x v="3"/>
    <s v="East"/>
    <s v="Cash"/>
    <n v="84000"/>
    <s v="Printer"/>
    <x v="1"/>
    <s v="Priya Patil"/>
    <x v="1"/>
    <s v="High"/>
  </r>
  <r>
    <n v="1236"/>
    <d v="2026-05-30T00:00:00"/>
    <s v="C002"/>
    <s v="P106"/>
    <n v="3"/>
    <n v="12000"/>
    <x v="3"/>
    <s v="East"/>
    <s v="Net Banking"/>
    <n v="36000"/>
    <s v="Printer"/>
    <x v="1"/>
    <s v="Priya Patil"/>
    <x v="1"/>
    <s v="Low"/>
  </r>
  <r>
    <n v="1237"/>
    <d v="2026-01-22T00:00:00"/>
    <s v="C010"/>
    <s v="P103"/>
    <n v="5"/>
    <n v="800"/>
    <x v="2"/>
    <s v="West"/>
    <s v="Card"/>
    <n v="4000"/>
    <s v="Mouse"/>
    <x v="0"/>
    <s v="Anjali Kulkarni"/>
    <x v="0"/>
    <s v="Low"/>
  </r>
  <r>
    <n v="1238"/>
    <d v="2026-06-29T00:00:00"/>
    <s v="C011"/>
    <s v="P103"/>
    <n v="2"/>
    <n v="800"/>
    <x v="4"/>
    <s v="West"/>
    <s v="Card"/>
    <n v="1600"/>
    <s v="Mouse"/>
    <x v="0"/>
    <s v="Sahil Khan"/>
    <x v="1"/>
    <s v="Low"/>
  </r>
  <r>
    <n v="1239"/>
    <d v="2026-03-21T00:00:00"/>
    <s v="C006"/>
    <s v="P101"/>
    <n v="3"/>
    <n v="55000"/>
    <x v="0"/>
    <s v="East"/>
    <s v="Net Banking"/>
    <n v="165000"/>
    <s v="Laptop"/>
    <x v="1"/>
    <s v="Neha Gupta"/>
    <x v="6"/>
    <s v="High"/>
  </r>
  <r>
    <n v="1240"/>
    <d v="2026-02-05T00:00:00"/>
    <s v="C004"/>
    <s v="P104"/>
    <n v="3"/>
    <n v="15000"/>
    <x v="1"/>
    <s v="East"/>
    <s v="UPI"/>
    <n v="45000"/>
    <s v="Monitor"/>
    <x v="1"/>
    <s v="Sneha Joshi"/>
    <x v="2"/>
    <s v="Low"/>
  </r>
  <r>
    <n v="1241"/>
    <d v="2026-05-19T00:00:00"/>
    <s v="C013"/>
    <s v="P109"/>
    <n v="1"/>
    <n v="900"/>
    <x v="4"/>
    <s v="East"/>
    <s v="Cash"/>
    <n v="900"/>
    <s v="USB Drive"/>
    <x v="0"/>
    <s v="Akash Jain"/>
    <x v="2"/>
    <s v="Low"/>
  </r>
  <r>
    <n v="1242"/>
    <d v="2026-02-09T00:00:00"/>
    <s v="C007"/>
    <s v="P110"/>
    <n v="3"/>
    <n v="30000"/>
    <x v="0"/>
    <s v="Central"/>
    <s v="Cash"/>
    <n v="90000"/>
    <s v="Smartphone"/>
    <x v="1"/>
    <s v="Karan Mehta"/>
    <x v="8"/>
    <s v="High"/>
  </r>
  <r>
    <n v="1243"/>
    <d v="2026-04-16T00:00:00"/>
    <s v="C001"/>
    <s v="P108"/>
    <n v="6"/>
    <n v="3000"/>
    <x v="4"/>
    <s v="South"/>
    <s v="Net Banking"/>
    <n v="18000"/>
    <s v="Webcam"/>
    <x v="0"/>
    <s v="Rahul Sharma"/>
    <x v="0"/>
    <s v="Low"/>
  </r>
  <r>
    <n v="1244"/>
    <d v="2026-04-25T00:00:00"/>
    <s v="C005"/>
    <s v="P110"/>
    <n v="4"/>
    <n v="30000"/>
    <x v="2"/>
    <s v="South"/>
    <s v="Card"/>
    <n v="120000"/>
    <s v="Smartphone"/>
    <x v="1"/>
    <s v="Rohit Singh"/>
    <x v="4"/>
    <s v="High"/>
  </r>
  <r>
    <n v="1245"/>
    <d v="2026-02-19T00:00:00"/>
    <s v="C015"/>
    <s v="P108"/>
    <n v="6"/>
    <n v="3000"/>
    <x v="4"/>
    <s v="Central"/>
    <s v="Net Banking"/>
    <n v="18000"/>
    <s v="Webcam"/>
    <x v="0"/>
    <s v="Nitin More"/>
    <x v="0"/>
    <s v="Low"/>
  </r>
  <r>
    <n v="1246"/>
    <d v="2026-03-14T00:00:00"/>
    <s v="C013"/>
    <s v="P108"/>
    <n v="7"/>
    <n v="3000"/>
    <x v="2"/>
    <s v="Central"/>
    <s v="Net Banking"/>
    <n v="21000"/>
    <s v="Webcam"/>
    <x v="0"/>
    <s v="Akash Jain"/>
    <x v="2"/>
    <s v="Low"/>
  </r>
  <r>
    <n v="1247"/>
    <d v="2026-02-21T00:00:00"/>
    <s v="C014"/>
    <s v="P103"/>
    <n v="3"/>
    <n v="800"/>
    <x v="3"/>
    <s v="North"/>
    <s v="Net Banking"/>
    <n v="2400"/>
    <s v="Mouse"/>
    <x v="0"/>
    <s v="Komal Pawar"/>
    <x v="6"/>
    <s v="Low"/>
  </r>
  <r>
    <n v="1248"/>
    <d v="2026-01-27T00:00:00"/>
    <s v="C009"/>
    <s v="P106"/>
    <n v="2"/>
    <n v="12000"/>
    <x v="3"/>
    <s v="North"/>
    <s v="Cash"/>
    <n v="24000"/>
    <s v="Printer"/>
    <x v="1"/>
    <s v="Vikas Yadav"/>
    <x v="5"/>
    <s v="Low"/>
  </r>
  <r>
    <n v="1249"/>
    <d v="2026-05-12T00:00:00"/>
    <s v="C008"/>
    <s v="P105"/>
    <n v="3"/>
    <n v="3500"/>
    <x v="5"/>
    <s v="North"/>
    <s v="Cash"/>
    <n v="10500"/>
    <s v="Headphones"/>
    <x v="0"/>
    <s v="Pooja Deshmukh"/>
    <x v="3"/>
    <s v="Low"/>
  </r>
  <r>
    <n v="1250"/>
    <d v="2026-03-31T00:00:00"/>
    <s v="C015"/>
    <s v="P108"/>
    <n v="1"/>
    <n v="3000"/>
    <x v="5"/>
    <s v="North"/>
    <s v="Net Banking"/>
    <n v="3000"/>
    <s v="Webcam"/>
    <x v="0"/>
    <s v="Nitin More"/>
    <x v="0"/>
    <s v="Low"/>
  </r>
  <r>
    <n v="1251"/>
    <d v="2026-03-02T00:00:00"/>
    <s v="C006"/>
    <s v="P109"/>
    <n v="7"/>
    <n v="900"/>
    <x v="1"/>
    <s v="East"/>
    <s v="Cash"/>
    <n v="6300"/>
    <s v="USB Drive"/>
    <x v="0"/>
    <s v="Neha Gupta"/>
    <x v="6"/>
    <s v="Low"/>
  </r>
  <r>
    <n v="1252"/>
    <d v="2026-01-26T00:00:00"/>
    <s v="C006"/>
    <s v="P101"/>
    <n v="6"/>
    <n v="55000"/>
    <x v="0"/>
    <s v="South"/>
    <s v="UPI"/>
    <n v="330000"/>
    <s v="Laptop"/>
    <x v="1"/>
    <s v="Neha Gupta"/>
    <x v="6"/>
    <s v="High"/>
  </r>
  <r>
    <n v="1253"/>
    <d v="2026-05-01T00:00:00"/>
    <s v="C015"/>
    <s v="P105"/>
    <n v="3"/>
    <n v="3500"/>
    <x v="4"/>
    <s v="West"/>
    <s v="Net Banking"/>
    <n v="10500"/>
    <s v="Headphones"/>
    <x v="0"/>
    <s v="Nitin More"/>
    <x v="0"/>
    <s v="Low"/>
  </r>
  <r>
    <n v="1254"/>
    <d v="2026-01-21T00:00:00"/>
    <s v="C001"/>
    <s v="P110"/>
    <n v="1"/>
    <n v="30000"/>
    <x v="3"/>
    <s v="South"/>
    <s v="Cash"/>
    <n v="30000"/>
    <s v="Smartphone"/>
    <x v="1"/>
    <s v="Rahul Sharma"/>
    <x v="0"/>
    <s v="Low"/>
  </r>
  <r>
    <n v="1255"/>
    <d v="2026-06-05T00:00:00"/>
    <s v="C012"/>
    <s v="P109"/>
    <n v="7"/>
    <n v="900"/>
    <x v="1"/>
    <s v="East"/>
    <s v="Cash"/>
    <n v="6300"/>
    <s v="USB Drive"/>
    <x v="0"/>
    <s v="Riya Shah"/>
    <x v="7"/>
    <s v="Low"/>
  </r>
  <r>
    <n v="1256"/>
    <d v="2026-01-13T00:00:00"/>
    <s v="C002"/>
    <s v="P105"/>
    <n v="4"/>
    <n v="3500"/>
    <x v="5"/>
    <s v="Central"/>
    <s v="Net Banking"/>
    <n v="14000"/>
    <s v="Headphones"/>
    <x v="0"/>
    <s v="Priya Patil"/>
    <x v="1"/>
    <s v="Low"/>
  </r>
  <r>
    <n v="1257"/>
    <d v="2026-05-08T00:00:00"/>
    <s v="C002"/>
    <s v="P102"/>
    <n v="1"/>
    <n v="2500"/>
    <x v="4"/>
    <s v="Central"/>
    <s v="Cash"/>
    <n v="2500"/>
    <s v="Keyboard"/>
    <x v="0"/>
    <s v="Priya Patil"/>
    <x v="1"/>
    <s v="Low"/>
  </r>
  <r>
    <n v="1258"/>
    <d v="2026-04-20T00:00:00"/>
    <s v="C005"/>
    <s v="P103"/>
    <n v="1"/>
    <n v="800"/>
    <x v="2"/>
    <s v="East"/>
    <s v="Cash"/>
    <n v="800"/>
    <s v="Mouse"/>
    <x v="0"/>
    <s v="Rohit Singh"/>
    <x v="4"/>
    <s v="Low"/>
  </r>
  <r>
    <n v="1259"/>
    <d v="2026-02-17T00:00:00"/>
    <s v="C007"/>
    <s v="P110"/>
    <n v="2"/>
    <n v="30000"/>
    <x v="2"/>
    <s v="East"/>
    <s v="UPI"/>
    <n v="60000"/>
    <s v="Smartphone"/>
    <x v="1"/>
    <s v="Karan Mehta"/>
    <x v="8"/>
    <s v="High"/>
  </r>
  <r>
    <n v="1260"/>
    <d v="2026-05-10T00:00:00"/>
    <s v="C009"/>
    <s v="P109"/>
    <n v="1"/>
    <n v="900"/>
    <x v="5"/>
    <s v="West"/>
    <s v="UPI"/>
    <n v="900"/>
    <s v="USB Drive"/>
    <x v="0"/>
    <s v="Vikas Yadav"/>
    <x v="5"/>
    <s v="Low"/>
  </r>
  <r>
    <n v="1261"/>
    <d v="2026-03-06T00:00:00"/>
    <s v="C006"/>
    <s v="P107"/>
    <n v="1"/>
    <n v="22000"/>
    <x v="3"/>
    <s v="North"/>
    <s v="Card"/>
    <n v="22000"/>
    <s v="Tablet"/>
    <x v="1"/>
    <s v="Neha Gupta"/>
    <x v="6"/>
    <s v="Low"/>
  </r>
  <r>
    <n v="1262"/>
    <d v="2026-06-18T00:00:00"/>
    <s v="C012"/>
    <s v="P104"/>
    <n v="2"/>
    <n v="15000"/>
    <x v="2"/>
    <s v="East"/>
    <s v="Cash"/>
    <n v="30000"/>
    <s v="Monitor"/>
    <x v="1"/>
    <s v="Riya Shah"/>
    <x v="7"/>
    <s v="Low"/>
  </r>
  <r>
    <n v="1263"/>
    <d v="2026-05-20T00:00:00"/>
    <s v="C006"/>
    <s v="P101"/>
    <n v="6"/>
    <n v="55000"/>
    <x v="4"/>
    <s v="South"/>
    <s v="Net Banking"/>
    <n v="330000"/>
    <s v="Laptop"/>
    <x v="1"/>
    <s v="Neha Gupta"/>
    <x v="6"/>
    <s v="High"/>
  </r>
  <r>
    <n v="1264"/>
    <d v="2026-02-16T00:00:00"/>
    <s v="C011"/>
    <s v="P108"/>
    <n v="3"/>
    <n v="3000"/>
    <x v="1"/>
    <s v="West"/>
    <s v="UPI"/>
    <n v="9000"/>
    <s v="Webcam"/>
    <x v="0"/>
    <s v="Sahil Khan"/>
    <x v="1"/>
    <s v="Low"/>
  </r>
  <r>
    <n v="1265"/>
    <d v="2026-01-12T00:00:00"/>
    <s v="C004"/>
    <s v="P105"/>
    <n v="4"/>
    <n v="3500"/>
    <x v="1"/>
    <s v="East"/>
    <s v="Card"/>
    <n v="14000"/>
    <s v="Headphones"/>
    <x v="0"/>
    <s v="Sneha Joshi"/>
    <x v="2"/>
    <s v="Low"/>
  </r>
  <r>
    <n v="1266"/>
    <d v="2026-05-20T00:00:00"/>
    <s v="C007"/>
    <s v="P109"/>
    <n v="8"/>
    <n v="900"/>
    <x v="3"/>
    <s v="North"/>
    <s v="Cash"/>
    <n v="7200"/>
    <s v="USB Drive"/>
    <x v="0"/>
    <s v="Karan Mehta"/>
    <x v="8"/>
    <s v="Low"/>
  </r>
  <r>
    <n v="1267"/>
    <d v="2026-01-13T00:00:00"/>
    <s v="C006"/>
    <s v="P105"/>
    <n v="6"/>
    <n v="3500"/>
    <x v="3"/>
    <s v="North"/>
    <s v="Card"/>
    <n v="21000"/>
    <s v="Headphones"/>
    <x v="0"/>
    <s v="Neha Gupta"/>
    <x v="6"/>
    <s v="Low"/>
  </r>
  <r>
    <n v="1268"/>
    <d v="2026-04-13T00:00:00"/>
    <s v="C015"/>
    <s v="P107"/>
    <n v="8"/>
    <n v="22000"/>
    <x v="5"/>
    <s v="East"/>
    <s v="Cash"/>
    <n v="176000"/>
    <s v="Tablet"/>
    <x v="1"/>
    <s v="Nitin More"/>
    <x v="0"/>
    <s v="High"/>
  </r>
  <r>
    <n v="1269"/>
    <d v="2026-05-08T00:00:00"/>
    <s v="C012"/>
    <s v="P108"/>
    <n v="6"/>
    <n v="3000"/>
    <x v="2"/>
    <s v="East"/>
    <s v="UPI"/>
    <n v="18000"/>
    <s v="Webcam"/>
    <x v="0"/>
    <s v="Riya Shah"/>
    <x v="7"/>
    <s v="Low"/>
  </r>
  <r>
    <n v="1270"/>
    <d v="2026-04-21T00:00:00"/>
    <s v="C002"/>
    <s v="P107"/>
    <n v="3"/>
    <n v="22000"/>
    <x v="2"/>
    <s v="East"/>
    <s v="Card"/>
    <n v="66000"/>
    <s v="Tablet"/>
    <x v="1"/>
    <s v="Priya Patil"/>
    <x v="1"/>
    <s v="High"/>
  </r>
  <r>
    <n v="1271"/>
    <d v="2026-03-25T00:00:00"/>
    <s v="C002"/>
    <s v="P102"/>
    <n v="5"/>
    <n v="2500"/>
    <x v="3"/>
    <s v="West"/>
    <s v="Net Banking"/>
    <n v="12500"/>
    <s v="Keyboard"/>
    <x v="0"/>
    <s v="Priya Patil"/>
    <x v="1"/>
    <s v="Low"/>
  </r>
  <r>
    <n v="1272"/>
    <d v="2026-04-24T00:00:00"/>
    <s v="C012"/>
    <s v="P103"/>
    <n v="6"/>
    <n v="800"/>
    <x v="5"/>
    <s v="North"/>
    <s v="Card"/>
    <n v="4800"/>
    <s v="Mouse"/>
    <x v="0"/>
    <s v="Riya Shah"/>
    <x v="7"/>
    <s v="Low"/>
  </r>
  <r>
    <n v="1273"/>
    <d v="2026-03-12T00:00:00"/>
    <s v="C007"/>
    <s v="P110"/>
    <n v="1"/>
    <n v="30000"/>
    <x v="1"/>
    <s v="West"/>
    <s v="Card"/>
    <n v="30000"/>
    <s v="Smartphone"/>
    <x v="1"/>
    <s v="Karan Mehta"/>
    <x v="8"/>
    <s v="Low"/>
  </r>
  <r>
    <n v="1274"/>
    <d v="2026-06-23T00:00:00"/>
    <s v="C013"/>
    <s v="P109"/>
    <n v="3"/>
    <n v="900"/>
    <x v="1"/>
    <s v="South"/>
    <s v="Net Banking"/>
    <n v="2700"/>
    <s v="USB Drive"/>
    <x v="0"/>
    <s v="Akash Jain"/>
    <x v="2"/>
    <s v="Low"/>
  </r>
  <r>
    <n v="1275"/>
    <d v="2026-01-18T00:00:00"/>
    <s v="C003"/>
    <s v="P101"/>
    <n v="4"/>
    <n v="55000"/>
    <x v="4"/>
    <s v="East"/>
    <s v="Card"/>
    <n v="220000"/>
    <s v="Laptop"/>
    <x v="1"/>
    <s v="Amit Verma"/>
    <x v="7"/>
    <s v="High"/>
  </r>
  <r>
    <n v="1276"/>
    <d v="2026-01-09T00:00:00"/>
    <s v="C010"/>
    <s v="P107"/>
    <n v="3"/>
    <n v="22000"/>
    <x v="4"/>
    <s v="West"/>
    <s v="Card"/>
    <n v="66000"/>
    <s v="Tablet"/>
    <x v="1"/>
    <s v="Anjali Kulkarni"/>
    <x v="0"/>
    <s v="High"/>
  </r>
  <r>
    <n v="1277"/>
    <d v="2026-01-20T00:00:00"/>
    <s v="C008"/>
    <s v="P106"/>
    <n v="3"/>
    <n v="12000"/>
    <x v="2"/>
    <s v="East"/>
    <s v="Net Banking"/>
    <n v="36000"/>
    <s v="Printer"/>
    <x v="1"/>
    <s v="Pooja Deshmukh"/>
    <x v="3"/>
    <s v="Low"/>
  </r>
  <r>
    <n v="1278"/>
    <d v="2026-03-13T00:00:00"/>
    <s v="C011"/>
    <s v="P106"/>
    <n v="4"/>
    <n v="12000"/>
    <x v="1"/>
    <s v="North"/>
    <s v="Cash"/>
    <n v="48000"/>
    <s v="Printer"/>
    <x v="1"/>
    <s v="Sahil Khan"/>
    <x v="1"/>
    <s v="Low"/>
  </r>
  <r>
    <n v="1279"/>
    <d v="2026-04-10T00:00:00"/>
    <s v="C009"/>
    <s v="P108"/>
    <n v="2"/>
    <n v="3000"/>
    <x v="3"/>
    <s v="East"/>
    <s v="Net Banking"/>
    <n v="6000"/>
    <s v="Webcam"/>
    <x v="0"/>
    <s v="Vikas Yadav"/>
    <x v="5"/>
    <s v="Low"/>
  </r>
  <r>
    <n v="1280"/>
    <d v="2026-03-15T00:00:00"/>
    <s v="C010"/>
    <s v="P104"/>
    <n v="8"/>
    <n v="15000"/>
    <x v="0"/>
    <s v="North"/>
    <s v="Cash"/>
    <n v="120000"/>
    <s v="Monitor"/>
    <x v="1"/>
    <s v="Anjali Kulkarni"/>
    <x v="0"/>
    <s v="High"/>
  </r>
  <r>
    <n v="1281"/>
    <d v="2026-02-14T00:00:00"/>
    <s v="C008"/>
    <s v="P102"/>
    <n v="8"/>
    <n v="2500"/>
    <x v="1"/>
    <s v="East"/>
    <s v="Card"/>
    <n v="20000"/>
    <s v="Keyboard"/>
    <x v="0"/>
    <s v="Pooja Deshmukh"/>
    <x v="3"/>
    <s v="Low"/>
  </r>
  <r>
    <n v="1282"/>
    <d v="2026-05-19T00:00:00"/>
    <s v="C009"/>
    <s v="P102"/>
    <n v="5"/>
    <n v="2500"/>
    <x v="3"/>
    <s v="South"/>
    <s v="Cash"/>
    <n v="12500"/>
    <s v="Keyboard"/>
    <x v="0"/>
    <s v="Vikas Yadav"/>
    <x v="5"/>
    <s v="Low"/>
  </r>
  <r>
    <n v="1283"/>
    <d v="2026-02-27T00:00:00"/>
    <s v="C009"/>
    <s v="P106"/>
    <n v="2"/>
    <n v="12000"/>
    <x v="0"/>
    <s v="South"/>
    <s v="Cash"/>
    <n v="24000"/>
    <s v="Printer"/>
    <x v="1"/>
    <s v="Vikas Yadav"/>
    <x v="5"/>
    <s v="Low"/>
  </r>
  <r>
    <n v="1284"/>
    <d v="2026-04-03T00:00:00"/>
    <s v="C001"/>
    <s v="P108"/>
    <n v="6"/>
    <n v="3000"/>
    <x v="5"/>
    <s v="Central"/>
    <s v="Cash"/>
    <n v="18000"/>
    <s v="Webcam"/>
    <x v="0"/>
    <s v="Rahul Sharma"/>
    <x v="0"/>
    <s v="Low"/>
  </r>
  <r>
    <n v="1285"/>
    <d v="2026-01-23T00:00:00"/>
    <s v="C015"/>
    <s v="P110"/>
    <n v="2"/>
    <n v="30000"/>
    <x v="3"/>
    <s v="West"/>
    <s v="Net Banking"/>
    <n v="60000"/>
    <s v="Smartphone"/>
    <x v="1"/>
    <s v="Nitin More"/>
    <x v="0"/>
    <s v="High"/>
  </r>
  <r>
    <n v="1286"/>
    <d v="2026-04-15T00:00:00"/>
    <s v="C007"/>
    <s v="P109"/>
    <n v="2"/>
    <n v="900"/>
    <x v="0"/>
    <s v="East"/>
    <s v="UPI"/>
    <n v="1800"/>
    <s v="USB Drive"/>
    <x v="0"/>
    <s v="Karan Mehta"/>
    <x v="8"/>
    <s v="Low"/>
  </r>
  <r>
    <n v="1287"/>
    <d v="2026-06-24T00:00:00"/>
    <s v="C008"/>
    <s v="P108"/>
    <n v="6"/>
    <n v="3000"/>
    <x v="0"/>
    <s v="Central"/>
    <s v="Cash"/>
    <n v="18000"/>
    <s v="Webcam"/>
    <x v="0"/>
    <s v="Pooja Deshmukh"/>
    <x v="3"/>
    <s v="Low"/>
  </r>
  <r>
    <n v="1288"/>
    <d v="2026-05-09T00:00:00"/>
    <s v="C007"/>
    <s v="P103"/>
    <n v="1"/>
    <n v="800"/>
    <x v="1"/>
    <s v="Central"/>
    <s v="Cash"/>
    <n v="800"/>
    <s v="Mouse"/>
    <x v="0"/>
    <s v="Karan Mehta"/>
    <x v="8"/>
    <s v="Low"/>
  </r>
  <r>
    <n v="1289"/>
    <d v="2026-02-11T00:00:00"/>
    <s v="C003"/>
    <s v="P105"/>
    <n v="6"/>
    <n v="3500"/>
    <x v="4"/>
    <s v="South"/>
    <s v="Card"/>
    <n v="21000"/>
    <s v="Headphones"/>
    <x v="0"/>
    <s v="Amit Verma"/>
    <x v="7"/>
    <s v="Low"/>
  </r>
  <r>
    <n v="1290"/>
    <d v="2026-03-14T00:00:00"/>
    <s v="C015"/>
    <s v="P109"/>
    <n v="2"/>
    <n v="900"/>
    <x v="3"/>
    <s v="South"/>
    <s v="Card"/>
    <n v="1800"/>
    <s v="USB Drive"/>
    <x v="0"/>
    <s v="Nitin More"/>
    <x v="0"/>
    <s v="Low"/>
  </r>
  <r>
    <n v="1291"/>
    <d v="2026-03-19T00:00:00"/>
    <s v="C011"/>
    <s v="P103"/>
    <n v="2"/>
    <n v="800"/>
    <x v="2"/>
    <s v="South"/>
    <s v="Cash"/>
    <n v="1600"/>
    <s v="Mouse"/>
    <x v="0"/>
    <s v="Sahil Khan"/>
    <x v="1"/>
    <s v="Low"/>
  </r>
  <r>
    <n v="1292"/>
    <d v="2026-06-09T00:00:00"/>
    <s v="C011"/>
    <s v="P103"/>
    <n v="6"/>
    <n v="800"/>
    <x v="2"/>
    <s v="North"/>
    <s v="UPI"/>
    <n v="4800"/>
    <s v="Mouse"/>
    <x v="0"/>
    <s v="Sahil Khan"/>
    <x v="1"/>
    <s v="Low"/>
  </r>
  <r>
    <n v="1293"/>
    <d v="2026-06-14T00:00:00"/>
    <s v="C001"/>
    <s v="P102"/>
    <n v="5"/>
    <n v="2500"/>
    <x v="4"/>
    <s v="South"/>
    <s v="Net Banking"/>
    <n v="12500"/>
    <s v="Keyboard"/>
    <x v="0"/>
    <s v="Rahul Sharma"/>
    <x v="0"/>
    <s v="Low"/>
  </r>
  <r>
    <n v="1294"/>
    <d v="2026-01-08T00:00:00"/>
    <s v="C011"/>
    <s v="P110"/>
    <n v="8"/>
    <n v="30000"/>
    <x v="4"/>
    <s v="Central"/>
    <s v="Card"/>
    <n v="240000"/>
    <s v="Smartphone"/>
    <x v="1"/>
    <s v="Sahil Khan"/>
    <x v="1"/>
    <s v="High"/>
  </r>
  <r>
    <n v="1295"/>
    <d v="2026-03-04T00:00:00"/>
    <s v="C008"/>
    <s v="P105"/>
    <n v="7"/>
    <n v="3500"/>
    <x v="3"/>
    <s v="West"/>
    <s v="UPI"/>
    <n v="24500"/>
    <s v="Headphones"/>
    <x v="0"/>
    <s v="Pooja Deshmukh"/>
    <x v="3"/>
    <s v="Low"/>
  </r>
  <r>
    <n v="1296"/>
    <d v="2026-04-23T00:00:00"/>
    <s v="C003"/>
    <s v="P101"/>
    <n v="7"/>
    <n v="55000"/>
    <x v="5"/>
    <s v="West"/>
    <s v="Cash"/>
    <n v="385000"/>
    <s v="Laptop"/>
    <x v="1"/>
    <s v="Amit Verma"/>
    <x v="7"/>
    <s v="High"/>
  </r>
  <r>
    <n v="1297"/>
    <d v="2026-02-06T00:00:00"/>
    <s v="C010"/>
    <s v="P106"/>
    <n v="6"/>
    <n v="12000"/>
    <x v="4"/>
    <s v="East"/>
    <s v="Card"/>
    <n v="72000"/>
    <s v="Printer"/>
    <x v="1"/>
    <s v="Anjali Kulkarni"/>
    <x v="0"/>
    <s v="High"/>
  </r>
  <r>
    <n v="1298"/>
    <d v="2026-04-05T00:00:00"/>
    <s v="C003"/>
    <s v="P107"/>
    <n v="2"/>
    <n v="22000"/>
    <x v="3"/>
    <s v="South"/>
    <s v="Net Banking"/>
    <n v="44000"/>
    <s v="Tablet"/>
    <x v="1"/>
    <s v="Amit Verma"/>
    <x v="7"/>
    <s v="Low"/>
  </r>
  <r>
    <n v="1299"/>
    <d v="2026-04-26T00:00:00"/>
    <s v="C005"/>
    <s v="P102"/>
    <n v="4"/>
    <n v="2500"/>
    <x v="0"/>
    <s v="North"/>
    <s v="UPI"/>
    <n v="10000"/>
    <s v="Keyboard"/>
    <x v="0"/>
    <s v="Rohit Singh"/>
    <x v="4"/>
    <s v="Low"/>
  </r>
  <r>
    <n v="1300"/>
    <d v="2026-06-07T00:00:00"/>
    <s v="C007"/>
    <s v="P105"/>
    <n v="7"/>
    <n v="3500"/>
    <x v="0"/>
    <s v="South"/>
    <s v="Card"/>
    <n v="24500"/>
    <s v="Headphones"/>
    <x v="0"/>
    <s v="Karan Mehta"/>
    <x v="8"/>
    <s v="Low"/>
  </r>
  <r>
    <n v="1301"/>
    <d v="2026-03-22T00:00:00"/>
    <s v="C012"/>
    <s v="P110"/>
    <n v="4"/>
    <n v="30000"/>
    <x v="0"/>
    <s v="West"/>
    <s v="Net Banking"/>
    <n v="120000"/>
    <s v="Smartphone"/>
    <x v="1"/>
    <s v="Riya Shah"/>
    <x v="7"/>
    <s v="High"/>
  </r>
  <r>
    <n v="1302"/>
    <d v="2026-03-20T00:00:00"/>
    <s v="C015"/>
    <s v="P108"/>
    <n v="8"/>
    <n v="3000"/>
    <x v="1"/>
    <s v="North"/>
    <s v="Net Banking"/>
    <n v="24000"/>
    <s v="Webcam"/>
    <x v="0"/>
    <s v="Nitin More"/>
    <x v="0"/>
    <s v="Low"/>
  </r>
  <r>
    <n v="1303"/>
    <d v="2026-03-03T00:00:00"/>
    <s v="C008"/>
    <s v="P109"/>
    <n v="4"/>
    <n v="900"/>
    <x v="2"/>
    <s v="East"/>
    <s v="UPI"/>
    <n v="3600"/>
    <s v="USB Drive"/>
    <x v="0"/>
    <s v="Pooja Deshmukh"/>
    <x v="3"/>
    <s v="Low"/>
  </r>
  <r>
    <n v="1304"/>
    <d v="2026-05-07T00:00:00"/>
    <s v="C005"/>
    <s v="P101"/>
    <n v="8"/>
    <n v="55000"/>
    <x v="3"/>
    <s v="Central"/>
    <s v="UPI"/>
    <n v="440000"/>
    <s v="Laptop"/>
    <x v="1"/>
    <s v="Rohit Singh"/>
    <x v="4"/>
    <s v="High"/>
  </r>
  <r>
    <n v="1305"/>
    <d v="2026-02-04T00:00:00"/>
    <s v="C007"/>
    <s v="P102"/>
    <n v="5"/>
    <n v="2500"/>
    <x v="4"/>
    <s v="East"/>
    <s v="Net Banking"/>
    <n v="12500"/>
    <s v="Keyboard"/>
    <x v="0"/>
    <s v="Karan Mehta"/>
    <x v="8"/>
    <s v="Low"/>
  </r>
  <r>
    <n v="1306"/>
    <d v="2026-04-13T00:00:00"/>
    <s v="C001"/>
    <s v="P106"/>
    <n v="1"/>
    <n v="12000"/>
    <x v="2"/>
    <s v="Central"/>
    <s v="Cash"/>
    <n v="12000"/>
    <s v="Printer"/>
    <x v="1"/>
    <s v="Rahul Sharma"/>
    <x v="0"/>
    <s v="Low"/>
  </r>
  <r>
    <n v="1307"/>
    <d v="2026-03-15T00:00:00"/>
    <s v="C009"/>
    <s v="P106"/>
    <n v="2"/>
    <n v="12000"/>
    <x v="5"/>
    <s v="Central"/>
    <s v="Net Banking"/>
    <n v="24000"/>
    <s v="Printer"/>
    <x v="1"/>
    <s v="Vikas Yadav"/>
    <x v="5"/>
    <s v="Low"/>
  </r>
  <r>
    <n v="1308"/>
    <d v="2026-06-09T00:00:00"/>
    <s v="C005"/>
    <s v="P109"/>
    <n v="2"/>
    <n v="900"/>
    <x v="0"/>
    <s v="North"/>
    <s v="Net Banking"/>
    <n v="1800"/>
    <s v="USB Drive"/>
    <x v="0"/>
    <s v="Rohit Singh"/>
    <x v="4"/>
    <s v="Low"/>
  </r>
  <r>
    <n v="1309"/>
    <d v="2026-03-28T00:00:00"/>
    <s v="C013"/>
    <s v="P106"/>
    <n v="6"/>
    <n v="12000"/>
    <x v="0"/>
    <s v="South"/>
    <s v="Net Banking"/>
    <n v="72000"/>
    <s v="Printer"/>
    <x v="1"/>
    <s v="Akash Jain"/>
    <x v="2"/>
    <s v="High"/>
  </r>
  <r>
    <n v="1310"/>
    <d v="2026-01-12T00:00:00"/>
    <s v="C001"/>
    <s v="P109"/>
    <n v="1"/>
    <n v="900"/>
    <x v="0"/>
    <s v="East"/>
    <s v="Net Banking"/>
    <n v="900"/>
    <s v="USB Drive"/>
    <x v="0"/>
    <s v="Rahul Sharma"/>
    <x v="0"/>
    <s v="Low"/>
  </r>
  <r>
    <n v="1311"/>
    <d v="2026-02-08T00:00:00"/>
    <s v="C008"/>
    <s v="P109"/>
    <n v="3"/>
    <n v="900"/>
    <x v="3"/>
    <s v="Central"/>
    <s v="Card"/>
    <n v="2700"/>
    <s v="USB Drive"/>
    <x v="0"/>
    <s v="Pooja Deshmukh"/>
    <x v="3"/>
    <s v="Low"/>
  </r>
  <r>
    <n v="1312"/>
    <d v="2026-06-07T00:00:00"/>
    <s v="C007"/>
    <s v="P103"/>
    <n v="5"/>
    <n v="800"/>
    <x v="2"/>
    <s v="East"/>
    <s v="Net Banking"/>
    <n v="4000"/>
    <s v="Mouse"/>
    <x v="0"/>
    <s v="Karan Mehta"/>
    <x v="8"/>
    <s v="Low"/>
  </r>
  <r>
    <n v="1313"/>
    <d v="2026-05-02T00:00:00"/>
    <s v="C005"/>
    <s v="P110"/>
    <n v="1"/>
    <n v="30000"/>
    <x v="3"/>
    <s v="East"/>
    <s v="UPI"/>
    <n v="30000"/>
    <s v="Smartphone"/>
    <x v="1"/>
    <s v="Rohit Singh"/>
    <x v="4"/>
    <s v="Low"/>
  </r>
  <r>
    <n v="1314"/>
    <d v="2026-03-20T00:00:00"/>
    <s v="C010"/>
    <s v="P107"/>
    <n v="1"/>
    <n v="22000"/>
    <x v="2"/>
    <s v="West"/>
    <s v="Card"/>
    <n v="22000"/>
    <s v="Tablet"/>
    <x v="1"/>
    <s v="Anjali Kulkarni"/>
    <x v="0"/>
    <s v="Low"/>
  </r>
  <r>
    <n v="1315"/>
    <d v="2026-02-28T00:00:00"/>
    <s v="C010"/>
    <s v="P110"/>
    <n v="1"/>
    <n v="30000"/>
    <x v="2"/>
    <s v="West"/>
    <s v="Cash"/>
    <n v="30000"/>
    <s v="Smartphone"/>
    <x v="1"/>
    <s v="Anjali Kulkarni"/>
    <x v="0"/>
    <s v="Low"/>
  </r>
  <r>
    <n v="1316"/>
    <d v="2026-06-08T00:00:00"/>
    <s v="C011"/>
    <s v="P109"/>
    <n v="7"/>
    <n v="900"/>
    <x v="0"/>
    <s v="South"/>
    <s v="UPI"/>
    <n v="6300"/>
    <s v="USB Drive"/>
    <x v="0"/>
    <s v="Sahil Khan"/>
    <x v="1"/>
    <s v="Low"/>
  </r>
  <r>
    <n v="1317"/>
    <d v="2026-01-29T00:00:00"/>
    <s v="C012"/>
    <s v="P110"/>
    <n v="4"/>
    <n v="30000"/>
    <x v="1"/>
    <s v="West"/>
    <s v="Card"/>
    <n v="120000"/>
    <s v="Smartphone"/>
    <x v="1"/>
    <s v="Riya Shah"/>
    <x v="7"/>
    <s v="High"/>
  </r>
  <r>
    <n v="1318"/>
    <d v="2026-04-16T00:00:00"/>
    <s v="C003"/>
    <s v="P107"/>
    <n v="4"/>
    <n v="22000"/>
    <x v="5"/>
    <s v="Central"/>
    <s v="Net Banking"/>
    <n v="88000"/>
    <s v="Tablet"/>
    <x v="1"/>
    <s v="Amit Verma"/>
    <x v="7"/>
    <s v="High"/>
  </r>
  <r>
    <n v="1319"/>
    <d v="2026-02-05T00:00:00"/>
    <s v="C012"/>
    <s v="P101"/>
    <n v="4"/>
    <n v="55000"/>
    <x v="2"/>
    <s v="East"/>
    <s v="Net Banking"/>
    <n v="220000"/>
    <s v="Laptop"/>
    <x v="1"/>
    <s v="Riya Shah"/>
    <x v="7"/>
    <s v="High"/>
  </r>
  <r>
    <n v="1320"/>
    <d v="2026-03-22T00:00:00"/>
    <s v="C007"/>
    <s v="P109"/>
    <n v="3"/>
    <n v="900"/>
    <x v="5"/>
    <s v="Central"/>
    <s v="Card"/>
    <n v="2700"/>
    <s v="USB Drive"/>
    <x v="0"/>
    <s v="Karan Mehta"/>
    <x v="8"/>
    <s v="Low"/>
  </r>
  <r>
    <n v="1321"/>
    <d v="2026-06-23T00:00:00"/>
    <s v="C006"/>
    <s v="P109"/>
    <n v="5"/>
    <n v="900"/>
    <x v="2"/>
    <s v="West"/>
    <s v="Cash"/>
    <n v="4500"/>
    <s v="USB Drive"/>
    <x v="0"/>
    <s v="Neha Gupta"/>
    <x v="6"/>
    <s v="Low"/>
  </r>
  <r>
    <n v="1322"/>
    <d v="2026-05-23T00:00:00"/>
    <s v="C005"/>
    <s v="P104"/>
    <n v="5"/>
    <n v="15000"/>
    <x v="0"/>
    <s v="East"/>
    <s v="Card"/>
    <n v="75000"/>
    <s v="Monitor"/>
    <x v="1"/>
    <s v="Rohit Singh"/>
    <x v="4"/>
    <s v="High"/>
  </r>
  <r>
    <n v="1323"/>
    <d v="2026-06-30T00:00:00"/>
    <s v="C012"/>
    <s v="P104"/>
    <n v="8"/>
    <n v="15000"/>
    <x v="3"/>
    <s v="West"/>
    <s v="Card"/>
    <n v="120000"/>
    <s v="Monitor"/>
    <x v="1"/>
    <s v="Riya Shah"/>
    <x v="7"/>
    <s v="High"/>
  </r>
  <r>
    <n v="1324"/>
    <d v="2026-03-12T00:00:00"/>
    <s v="C015"/>
    <s v="P109"/>
    <n v="5"/>
    <n v="900"/>
    <x v="1"/>
    <s v="Central"/>
    <s v="Net Banking"/>
    <n v="4500"/>
    <s v="USB Drive"/>
    <x v="0"/>
    <s v="Nitin More"/>
    <x v="0"/>
    <s v="Low"/>
  </r>
  <r>
    <n v="1325"/>
    <d v="2026-03-30T00:00:00"/>
    <s v="C014"/>
    <s v="P107"/>
    <n v="3"/>
    <n v="22000"/>
    <x v="3"/>
    <s v="North"/>
    <s v="Card"/>
    <n v="66000"/>
    <s v="Tablet"/>
    <x v="1"/>
    <s v="Komal Pawar"/>
    <x v="6"/>
    <s v="High"/>
  </r>
  <r>
    <n v="1326"/>
    <d v="2026-04-24T00:00:00"/>
    <s v="C006"/>
    <s v="P102"/>
    <n v="5"/>
    <n v="2500"/>
    <x v="4"/>
    <s v="West"/>
    <s v="Cash"/>
    <n v="12500"/>
    <s v="Keyboard"/>
    <x v="0"/>
    <s v="Neha Gupta"/>
    <x v="6"/>
    <s v="Low"/>
  </r>
  <r>
    <n v="1327"/>
    <d v="2026-05-18T00:00:00"/>
    <s v="C014"/>
    <s v="P104"/>
    <n v="5"/>
    <n v="15000"/>
    <x v="2"/>
    <s v="East"/>
    <s v="Cash"/>
    <n v="75000"/>
    <s v="Monitor"/>
    <x v="1"/>
    <s v="Komal Pawar"/>
    <x v="6"/>
    <s v="High"/>
  </r>
  <r>
    <n v="1328"/>
    <d v="2026-05-31T00:00:00"/>
    <s v="C010"/>
    <s v="P102"/>
    <n v="4"/>
    <n v="2500"/>
    <x v="0"/>
    <s v="North"/>
    <s v="Cash"/>
    <n v="10000"/>
    <s v="Keyboard"/>
    <x v="0"/>
    <s v="Anjali Kulkarni"/>
    <x v="0"/>
    <s v="Low"/>
  </r>
  <r>
    <n v="1329"/>
    <d v="2026-01-26T00:00:00"/>
    <s v="C001"/>
    <s v="P104"/>
    <n v="7"/>
    <n v="15000"/>
    <x v="3"/>
    <s v="West"/>
    <s v="UPI"/>
    <n v="105000"/>
    <s v="Monitor"/>
    <x v="1"/>
    <s v="Rahul Sharma"/>
    <x v="0"/>
    <s v="High"/>
  </r>
  <r>
    <n v="1330"/>
    <d v="2026-05-21T00:00:00"/>
    <s v="C001"/>
    <s v="P103"/>
    <n v="3"/>
    <n v="800"/>
    <x v="5"/>
    <s v="West"/>
    <s v="Net Banking"/>
    <n v="2400"/>
    <s v="Mouse"/>
    <x v="0"/>
    <s v="Rahul Sharma"/>
    <x v="0"/>
    <s v="Low"/>
  </r>
  <r>
    <n v="1331"/>
    <d v="2026-03-15T00:00:00"/>
    <s v="C013"/>
    <s v="P104"/>
    <n v="6"/>
    <n v="15000"/>
    <x v="3"/>
    <s v="North"/>
    <s v="UPI"/>
    <n v="90000"/>
    <s v="Monitor"/>
    <x v="1"/>
    <s v="Akash Jain"/>
    <x v="2"/>
    <s v="High"/>
  </r>
  <r>
    <n v="1332"/>
    <d v="2026-05-17T00:00:00"/>
    <s v="C004"/>
    <s v="P110"/>
    <n v="1"/>
    <n v="30000"/>
    <x v="0"/>
    <s v="West"/>
    <s v="Cash"/>
    <n v="30000"/>
    <s v="Smartphone"/>
    <x v="1"/>
    <s v="Sneha Joshi"/>
    <x v="2"/>
    <s v="Low"/>
  </r>
  <r>
    <n v="1333"/>
    <d v="2026-04-12T00:00:00"/>
    <s v="C014"/>
    <s v="P101"/>
    <n v="8"/>
    <n v="55000"/>
    <x v="0"/>
    <s v="East"/>
    <s v="UPI"/>
    <n v="440000"/>
    <s v="Laptop"/>
    <x v="1"/>
    <s v="Komal Pawar"/>
    <x v="6"/>
    <s v="High"/>
  </r>
  <r>
    <n v="1334"/>
    <d v="2026-05-26T00:00:00"/>
    <s v="C005"/>
    <s v="P101"/>
    <n v="2"/>
    <n v="55000"/>
    <x v="3"/>
    <s v="East"/>
    <s v="Net Banking"/>
    <n v="110000"/>
    <s v="Laptop"/>
    <x v="1"/>
    <s v="Rohit Singh"/>
    <x v="4"/>
    <s v="High"/>
  </r>
  <r>
    <n v="1335"/>
    <d v="2026-05-07T00:00:00"/>
    <s v="C009"/>
    <s v="P109"/>
    <n v="3"/>
    <n v="900"/>
    <x v="2"/>
    <s v="West"/>
    <s v="Card"/>
    <n v="2700"/>
    <s v="USB Drive"/>
    <x v="0"/>
    <s v="Vikas Yadav"/>
    <x v="5"/>
    <s v="Low"/>
  </r>
  <r>
    <n v="1336"/>
    <d v="2026-01-29T00:00:00"/>
    <s v="C013"/>
    <s v="P104"/>
    <n v="6"/>
    <n v="15000"/>
    <x v="0"/>
    <s v="West"/>
    <s v="Card"/>
    <n v="90000"/>
    <s v="Monitor"/>
    <x v="1"/>
    <s v="Akash Jain"/>
    <x v="2"/>
    <s v="High"/>
  </r>
  <r>
    <n v="1337"/>
    <d v="2026-03-28T00:00:00"/>
    <s v="C001"/>
    <s v="P103"/>
    <n v="5"/>
    <n v="800"/>
    <x v="2"/>
    <s v="South"/>
    <s v="Cash"/>
    <n v="4000"/>
    <s v="Mouse"/>
    <x v="0"/>
    <s v="Rahul Sharma"/>
    <x v="0"/>
    <s v="Low"/>
  </r>
  <r>
    <n v="1338"/>
    <d v="2026-06-13T00:00:00"/>
    <s v="C014"/>
    <s v="P110"/>
    <n v="7"/>
    <n v="30000"/>
    <x v="5"/>
    <s v="Central"/>
    <s v="Card"/>
    <n v="210000"/>
    <s v="Smartphone"/>
    <x v="1"/>
    <s v="Komal Pawar"/>
    <x v="6"/>
    <s v="High"/>
  </r>
  <r>
    <n v="1339"/>
    <d v="2026-06-21T00:00:00"/>
    <s v="C007"/>
    <s v="P102"/>
    <n v="2"/>
    <n v="2500"/>
    <x v="0"/>
    <s v="South"/>
    <s v="Net Banking"/>
    <n v="5000"/>
    <s v="Keyboard"/>
    <x v="0"/>
    <s v="Karan Mehta"/>
    <x v="8"/>
    <s v="Low"/>
  </r>
  <r>
    <n v="1340"/>
    <d v="2026-03-05T00:00:00"/>
    <s v="C015"/>
    <s v="P106"/>
    <n v="1"/>
    <n v="12000"/>
    <x v="3"/>
    <s v="West"/>
    <s v="Cash"/>
    <n v="12000"/>
    <s v="Printer"/>
    <x v="1"/>
    <s v="Nitin More"/>
    <x v="0"/>
    <s v="Low"/>
  </r>
  <r>
    <n v="1341"/>
    <d v="2026-03-10T00:00:00"/>
    <s v="C013"/>
    <s v="P108"/>
    <n v="6"/>
    <n v="3000"/>
    <x v="3"/>
    <s v="Central"/>
    <s v="UPI"/>
    <n v="18000"/>
    <s v="Webcam"/>
    <x v="0"/>
    <s v="Akash Jain"/>
    <x v="2"/>
    <s v="Low"/>
  </r>
  <r>
    <n v="1342"/>
    <d v="2026-04-03T00:00:00"/>
    <s v="C011"/>
    <s v="P105"/>
    <n v="4"/>
    <n v="3500"/>
    <x v="1"/>
    <s v="North"/>
    <s v="Net Banking"/>
    <n v="14000"/>
    <s v="Headphones"/>
    <x v="0"/>
    <s v="Sahil Khan"/>
    <x v="1"/>
    <s v="Low"/>
  </r>
  <r>
    <n v="1343"/>
    <d v="2026-04-14T00:00:00"/>
    <s v="C003"/>
    <s v="P105"/>
    <n v="5"/>
    <n v="3500"/>
    <x v="4"/>
    <s v="North"/>
    <s v="Card"/>
    <n v="17500"/>
    <s v="Headphones"/>
    <x v="0"/>
    <s v="Amit Verma"/>
    <x v="7"/>
    <s v="Low"/>
  </r>
  <r>
    <n v="1344"/>
    <d v="2026-02-26T00:00:00"/>
    <s v="C010"/>
    <s v="P106"/>
    <n v="4"/>
    <n v="12000"/>
    <x v="0"/>
    <s v="West"/>
    <s v="Cash"/>
    <n v="48000"/>
    <s v="Printer"/>
    <x v="1"/>
    <s v="Anjali Kulkarni"/>
    <x v="0"/>
    <s v="Low"/>
  </r>
  <r>
    <n v="1345"/>
    <d v="2026-06-05T00:00:00"/>
    <s v="C012"/>
    <s v="P108"/>
    <n v="6"/>
    <n v="3000"/>
    <x v="5"/>
    <s v="Central"/>
    <s v="Net Banking"/>
    <n v="18000"/>
    <s v="Webcam"/>
    <x v="0"/>
    <s v="Riya Shah"/>
    <x v="7"/>
    <s v="Low"/>
  </r>
  <r>
    <n v="1346"/>
    <d v="2026-06-20T00:00:00"/>
    <s v="C013"/>
    <s v="P109"/>
    <n v="4"/>
    <n v="900"/>
    <x v="0"/>
    <s v="Central"/>
    <s v="UPI"/>
    <n v="3600"/>
    <s v="USB Drive"/>
    <x v="0"/>
    <s v="Akash Jain"/>
    <x v="2"/>
    <s v="Low"/>
  </r>
  <r>
    <n v="1347"/>
    <d v="2026-05-16T00:00:00"/>
    <s v="C008"/>
    <s v="P109"/>
    <n v="6"/>
    <n v="900"/>
    <x v="1"/>
    <s v="Central"/>
    <s v="UPI"/>
    <n v="5400"/>
    <s v="USB Drive"/>
    <x v="0"/>
    <s v="Pooja Deshmukh"/>
    <x v="3"/>
    <s v="Low"/>
  </r>
  <r>
    <n v="1348"/>
    <d v="2026-05-21T00:00:00"/>
    <s v="C014"/>
    <s v="P101"/>
    <n v="4"/>
    <n v="55000"/>
    <x v="2"/>
    <s v="Central"/>
    <s v="Cash"/>
    <n v="220000"/>
    <s v="Laptop"/>
    <x v="1"/>
    <s v="Komal Pawar"/>
    <x v="6"/>
    <s v="High"/>
  </r>
  <r>
    <n v="1349"/>
    <d v="2026-05-14T00:00:00"/>
    <s v="C006"/>
    <s v="P103"/>
    <n v="8"/>
    <n v="800"/>
    <x v="1"/>
    <s v="South"/>
    <s v="Net Banking"/>
    <n v="6400"/>
    <s v="Mouse"/>
    <x v="0"/>
    <s v="Neha Gupta"/>
    <x v="6"/>
    <s v="Low"/>
  </r>
  <r>
    <n v="1350"/>
    <d v="2026-05-11T00:00:00"/>
    <s v="C015"/>
    <s v="P102"/>
    <n v="8"/>
    <n v="2500"/>
    <x v="1"/>
    <s v="West"/>
    <s v="Cash"/>
    <n v="20000"/>
    <s v="Keyboard"/>
    <x v="0"/>
    <s v="Nitin More"/>
    <x v="0"/>
    <s v="Low"/>
  </r>
  <r>
    <n v="1351"/>
    <d v="2026-04-27T00:00:00"/>
    <s v="C007"/>
    <s v="P109"/>
    <n v="1"/>
    <n v="900"/>
    <x v="2"/>
    <s v="West"/>
    <s v="Card"/>
    <n v="900"/>
    <s v="USB Drive"/>
    <x v="0"/>
    <s v="Karan Mehta"/>
    <x v="8"/>
    <s v="Low"/>
  </r>
  <r>
    <n v="1352"/>
    <d v="2026-03-07T00:00:00"/>
    <s v="C007"/>
    <s v="P101"/>
    <n v="1"/>
    <n v="55000"/>
    <x v="4"/>
    <s v="South"/>
    <s v="UPI"/>
    <n v="55000"/>
    <s v="Laptop"/>
    <x v="1"/>
    <s v="Karan Mehta"/>
    <x v="8"/>
    <s v="High"/>
  </r>
  <r>
    <n v="1353"/>
    <d v="2026-03-30T00:00:00"/>
    <s v="C007"/>
    <s v="P101"/>
    <n v="2"/>
    <n v="55000"/>
    <x v="2"/>
    <s v="North"/>
    <s v="UPI"/>
    <n v="110000"/>
    <s v="Laptop"/>
    <x v="1"/>
    <s v="Karan Mehta"/>
    <x v="8"/>
    <s v="High"/>
  </r>
  <r>
    <n v="1354"/>
    <d v="2026-03-15T00:00:00"/>
    <s v="C001"/>
    <s v="P108"/>
    <n v="7"/>
    <n v="3000"/>
    <x v="0"/>
    <s v="South"/>
    <s v="Net Banking"/>
    <n v="21000"/>
    <s v="Webcam"/>
    <x v="0"/>
    <s v="Rahul Sharma"/>
    <x v="0"/>
    <s v="Low"/>
  </r>
  <r>
    <n v="1355"/>
    <d v="2026-04-08T00:00:00"/>
    <s v="C015"/>
    <s v="P106"/>
    <n v="8"/>
    <n v="12000"/>
    <x v="5"/>
    <s v="West"/>
    <s v="UPI"/>
    <n v="96000"/>
    <s v="Printer"/>
    <x v="1"/>
    <s v="Nitin More"/>
    <x v="0"/>
    <s v="High"/>
  </r>
  <r>
    <n v="1356"/>
    <d v="2026-06-17T00:00:00"/>
    <s v="C003"/>
    <s v="P109"/>
    <n v="6"/>
    <n v="900"/>
    <x v="1"/>
    <s v="South"/>
    <s v="Net Banking"/>
    <n v="5400"/>
    <s v="USB Drive"/>
    <x v="0"/>
    <s v="Amit Verma"/>
    <x v="7"/>
    <s v="Low"/>
  </r>
  <r>
    <n v="1357"/>
    <d v="2026-02-27T00:00:00"/>
    <s v="C003"/>
    <s v="P109"/>
    <n v="1"/>
    <n v="900"/>
    <x v="1"/>
    <s v="East"/>
    <s v="Net Banking"/>
    <n v="900"/>
    <s v="USB Drive"/>
    <x v="0"/>
    <s v="Amit Verma"/>
    <x v="7"/>
    <s v="Low"/>
  </r>
  <r>
    <n v="1358"/>
    <d v="2026-05-17T00:00:00"/>
    <s v="C007"/>
    <s v="P109"/>
    <n v="7"/>
    <n v="900"/>
    <x v="0"/>
    <s v="South"/>
    <s v="Net Banking"/>
    <n v="6300"/>
    <s v="USB Drive"/>
    <x v="0"/>
    <s v="Karan Mehta"/>
    <x v="8"/>
    <s v="Low"/>
  </r>
  <r>
    <n v="1359"/>
    <d v="2026-03-12T00:00:00"/>
    <s v="C003"/>
    <s v="P106"/>
    <n v="4"/>
    <n v="12000"/>
    <x v="4"/>
    <s v="North"/>
    <s v="UPI"/>
    <n v="48000"/>
    <s v="Printer"/>
    <x v="1"/>
    <s v="Amit Verma"/>
    <x v="7"/>
    <s v="Low"/>
  </r>
  <r>
    <n v="1360"/>
    <d v="2026-01-05T00:00:00"/>
    <s v="C010"/>
    <s v="P107"/>
    <n v="4"/>
    <n v="22000"/>
    <x v="0"/>
    <s v="North"/>
    <s v="UPI"/>
    <n v="88000"/>
    <s v="Tablet"/>
    <x v="1"/>
    <s v="Anjali Kulkarni"/>
    <x v="0"/>
    <s v="High"/>
  </r>
  <r>
    <n v="1361"/>
    <d v="2026-04-25T00:00:00"/>
    <s v="C001"/>
    <s v="P110"/>
    <n v="1"/>
    <n v="30000"/>
    <x v="0"/>
    <s v="North"/>
    <s v="Net Banking"/>
    <n v="30000"/>
    <s v="Smartphone"/>
    <x v="1"/>
    <s v="Rahul Sharma"/>
    <x v="0"/>
    <s v="Low"/>
  </r>
  <r>
    <n v="1362"/>
    <d v="2026-05-19T00:00:00"/>
    <s v="C004"/>
    <s v="P108"/>
    <n v="4"/>
    <n v="3000"/>
    <x v="1"/>
    <s v="South"/>
    <s v="Card"/>
    <n v="12000"/>
    <s v="Webcam"/>
    <x v="0"/>
    <s v="Sneha Joshi"/>
    <x v="2"/>
    <s v="Low"/>
  </r>
  <r>
    <n v="1363"/>
    <d v="2026-05-28T00:00:00"/>
    <s v="C014"/>
    <s v="P104"/>
    <n v="6"/>
    <n v="15000"/>
    <x v="2"/>
    <s v="Central"/>
    <s v="Card"/>
    <n v="90000"/>
    <s v="Monitor"/>
    <x v="1"/>
    <s v="Komal Pawar"/>
    <x v="6"/>
    <s v="High"/>
  </r>
  <r>
    <n v="1364"/>
    <d v="2026-02-06T00:00:00"/>
    <s v="C005"/>
    <s v="P104"/>
    <n v="4"/>
    <n v="15000"/>
    <x v="5"/>
    <s v="East"/>
    <s v="Card"/>
    <n v="60000"/>
    <s v="Monitor"/>
    <x v="1"/>
    <s v="Rohit Singh"/>
    <x v="4"/>
    <s v="High"/>
  </r>
  <r>
    <n v="1365"/>
    <d v="2026-06-01T00:00:00"/>
    <s v="C009"/>
    <s v="P101"/>
    <n v="3"/>
    <n v="55000"/>
    <x v="4"/>
    <s v="West"/>
    <s v="Net Banking"/>
    <n v="165000"/>
    <s v="Laptop"/>
    <x v="1"/>
    <s v="Vikas Yadav"/>
    <x v="5"/>
    <s v="High"/>
  </r>
  <r>
    <n v="1366"/>
    <d v="2026-06-14T00:00:00"/>
    <s v="C006"/>
    <s v="P101"/>
    <n v="7"/>
    <n v="55000"/>
    <x v="2"/>
    <s v="East"/>
    <s v="Net Banking"/>
    <n v="385000"/>
    <s v="Laptop"/>
    <x v="1"/>
    <s v="Neha Gupta"/>
    <x v="6"/>
    <s v="High"/>
  </r>
  <r>
    <n v="1367"/>
    <d v="2026-03-18T00:00:00"/>
    <s v="C003"/>
    <s v="P107"/>
    <n v="7"/>
    <n v="22000"/>
    <x v="0"/>
    <s v="Central"/>
    <s v="Net Banking"/>
    <n v="154000"/>
    <s v="Tablet"/>
    <x v="1"/>
    <s v="Amit Verma"/>
    <x v="7"/>
    <s v="High"/>
  </r>
  <r>
    <n v="1368"/>
    <d v="2026-02-27T00:00:00"/>
    <s v="C014"/>
    <s v="P104"/>
    <n v="5"/>
    <n v="15000"/>
    <x v="4"/>
    <s v="South"/>
    <s v="Net Banking"/>
    <n v="75000"/>
    <s v="Monitor"/>
    <x v="1"/>
    <s v="Komal Pawar"/>
    <x v="6"/>
    <s v="High"/>
  </r>
  <r>
    <n v="1369"/>
    <d v="2026-04-16T00:00:00"/>
    <s v="C009"/>
    <s v="P101"/>
    <n v="7"/>
    <n v="55000"/>
    <x v="2"/>
    <s v="Central"/>
    <s v="Cash"/>
    <n v="385000"/>
    <s v="Laptop"/>
    <x v="1"/>
    <s v="Vikas Yadav"/>
    <x v="5"/>
    <s v="High"/>
  </r>
  <r>
    <n v="1370"/>
    <d v="2026-03-07T00:00:00"/>
    <s v="C004"/>
    <s v="P107"/>
    <n v="4"/>
    <n v="22000"/>
    <x v="3"/>
    <s v="North"/>
    <s v="Net Banking"/>
    <n v="88000"/>
    <s v="Tablet"/>
    <x v="1"/>
    <s v="Sneha Joshi"/>
    <x v="2"/>
    <s v="High"/>
  </r>
  <r>
    <n v="1371"/>
    <d v="2026-05-18T00:00:00"/>
    <s v="C002"/>
    <s v="P106"/>
    <n v="4"/>
    <n v="12000"/>
    <x v="1"/>
    <s v="East"/>
    <s v="Net Banking"/>
    <n v="48000"/>
    <s v="Printer"/>
    <x v="1"/>
    <s v="Priya Patil"/>
    <x v="1"/>
    <s v="Low"/>
  </r>
  <r>
    <n v="1372"/>
    <d v="2026-01-11T00:00:00"/>
    <s v="C010"/>
    <s v="P110"/>
    <n v="2"/>
    <n v="30000"/>
    <x v="0"/>
    <s v="Central"/>
    <s v="Cash"/>
    <n v="60000"/>
    <s v="Smartphone"/>
    <x v="1"/>
    <s v="Anjali Kulkarni"/>
    <x v="0"/>
    <s v="High"/>
  </r>
  <r>
    <n v="1373"/>
    <d v="2026-03-27T00:00:00"/>
    <s v="C004"/>
    <s v="P108"/>
    <n v="5"/>
    <n v="3000"/>
    <x v="1"/>
    <s v="South"/>
    <s v="Cash"/>
    <n v="15000"/>
    <s v="Webcam"/>
    <x v="0"/>
    <s v="Sneha Joshi"/>
    <x v="2"/>
    <s v="Low"/>
  </r>
  <r>
    <n v="1374"/>
    <d v="2026-05-03T00:00:00"/>
    <s v="C012"/>
    <s v="P102"/>
    <n v="4"/>
    <n v="2500"/>
    <x v="4"/>
    <s v="Central"/>
    <s v="Cash"/>
    <n v="10000"/>
    <s v="Keyboard"/>
    <x v="0"/>
    <s v="Riya Shah"/>
    <x v="7"/>
    <s v="Low"/>
  </r>
  <r>
    <n v="1375"/>
    <d v="2026-03-03T00:00:00"/>
    <s v="C015"/>
    <s v="P107"/>
    <n v="6"/>
    <n v="22000"/>
    <x v="3"/>
    <s v="West"/>
    <s v="Net Banking"/>
    <n v="132000"/>
    <s v="Tablet"/>
    <x v="1"/>
    <s v="Nitin More"/>
    <x v="0"/>
    <s v="High"/>
  </r>
  <r>
    <n v="1376"/>
    <d v="2026-04-02T00:00:00"/>
    <s v="C011"/>
    <s v="P109"/>
    <n v="5"/>
    <n v="900"/>
    <x v="3"/>
    <s v="East"/>
    <s v="Net Banking"/>
    <n v="4500"/>
    <s v="USB Drive"/>
    <x v="0"/>
    <s v="Sahil Khan"/>
    <x v="1"/>
    <s v="Low"/>
  </r>
  <r>
    <n v="1377"/>
    <d v="2026-05-01T00:00:00"/>
    <s v="C002"/>
    <s v="P108"/>
    <n v="6"/>
    <n v="3000"/>
    <x v="0"/>
    <s v="East"/>
    <s v="Card"/>
    <n v="18000"/>
    <s v="Webcam"/>
    <x v="0"/>
    <s v="Priya Patil"/>
    <x v="1"/>
    <s v="Low"/>
  </r>
  <r>
    <n v="1378"/>
    <d v="2026-05-25T00:00:00"/>
    <s v="C001"/>
    <s v="P107"/>
    <n v="4"/>
    <n v="22000"/>
    <x v="4"/>
    <s v="South"/>
    <s v="UPI"/>
    <n v="88000"/>
    <s v="Tablet"/>
    <x v="1"/>
    <s v="Rahul Sharma"/>
    <x v="0"/>
    <s v="High"/>
  </r>
  <r>
    <n v="1379"/>
    <d v="2026-05-30T00:00:00"/>
    <s v="C009"/>
    <s v="P105"/>
    <n v="7"/>
    <n v="3500"/>
    <x v="3"/>
    <s v="South"/>
    <s v="Cash"/>
    <n v="24500"/>
    <s v="Headphones"/>
    <x v="0"/>
    <s v="Vikas Yadav"/>
    <x v="5"/>
    <s v="Low"/>
  </r>
  <r>
    <n v="1380"/>
    <d v="2026-04-08T00:00:00"/>
    <s v="C004"/>
    <s v="P106"/>
    <n v="4"/>
    <n v="12000"/>
    <x v="5"/>
    <s v="Central"/>
    <s v="Card"/>
    <n v="48000"/>
    <s v="Printer"/>
    <x v="1"/>
    <s v="Sneha Joshi"/>
    <x v="2"/>
    <s v="Low"/>
  </r>
  <r>
    <n v="1381"/>
    <d v="2026-05-06T00:00:00"/>
    <s v="C013"/>
    <s v="P105"/>
    <n v="8"/>
    <n v="3500"/>
    <x v="5"/>
    <s v="South"/>
    <s v="Card"/>
    <n v="28000"/>
    <s v="Headphones"/>
    <x v="0"/>
    <s v="Akash Jain"/>
    <x v="2"/>
    <s v="Low"/>
  </r>
  <r>
    <n v="1382"/>
    <d v="2026-05-20T00:00:00"/>
    <s v="C003"/>
    <s v="P103"/>
    <n v="8"/>
    <n v="800"/>
    <x v="0"/>
    <s v="Central"/>
    <s v="UPI"/>
    <n v="6400"/>
    <s v="Mouse"/>
    <x v="0"/>
    <s v="Amit Verma"/>
    <x v="7"/>
    <s v="Low"/>
  </r>
  <r>
    <n v="1383"/>
    <d v="2026-01-20T00:00:00"/>
    <s v="C001"/>
    <s v="P109"/>
    <n v="1"/>
    <n v="900"/>
    <x v="1"/>
    <s v="West"/>
    <s v="Cash"/>
    <n v="900"/>
    <s v="USB Drive"/>
    <x v="0"/>
    <s v="Rahul Sharma"/>
    <x v="0"/>
    <s v="Low"/>
  </r>
  <r>
    <n v="1384"/>
    <d v="2026-02-08T00:00:00"/>
    <s v="C002"/>
    <s v="P104"/>
    <n v="1"/>
    <n v="15000"/>
    <x v="0"/>
    <s v="Central"/>
    <s v="Net Banking"/>
    <n v="15000"/>
    <s v="Monitor"/>
    <x v="1"/>
    <s v="Priya Patil"/>
    <x v="1"/>
    <s v="Low"/>
  </r>
  <r>
    <n v="1385"/>
    <d v="2026-06-08T00:00:00"/>
    <s v="C001"/>
    <s v="P106"/>
    <n v="8"/>
    <n v="12000"/>
    <x v="4"/>
    <s v="West"/>
    <s v="UPI"/>
    <n v="96000"/>
    <s v="Printer"/>
    <x v="1"/>
    <s v="Rahul Sharma"/>
    <x v="0"/>
    <s v="High"/>
  </r>
  <r>
    <n v="1386"/>
    <d v="2026-05-22T00:00:00"/>
    <s v="C009"/>
    <s v="P101"/>
    <n v="7"/>
    <n v="55000"/>
    <x v="1"/>
    <s v="North"/>
    <s v="Card"/>
    <n v="385000"/>
    <s v="Laptop"/>
    <x v="1"/>
    <s v="Vikas Yadav"/>
    <x v="5"/>
    <s v="High"/>
  </r>
  <r>
    <n v="1387"/>
    <d v="2026-01-05T00:00:00"/>
    <s v="C005"/>
    <s v="P109"/>
    <n v="7"/>
    <n v="900"/>
    <x v="0"/>
    <s v="North"/>
    <s v="UPI"/>
    <n v="6300"/>
    <s v="USB Drive"/>
    <x v="0"/>
    <s v="Rohit Singh"/>
    <x v="4"/>
    <s v="Low"/>
  </r>
  <r>
    <n v="1388"/>
    <d v="2026-03-03T00:00:00"/>
    <s v="C003"/>
    <s v="P109"/>
    <n v="4"/>
    <n v="900"/>
    <x v="2"/>
    <s v="Central"/>
    <s v="Card"/>
    <n v="3600"/>
    <s v="USB Drive"/>
    <x v="0"/>
    <s v="Amit Verma"/>
    <x v="7"/>
    <s v="Low"/>
  </r>
  <r>
    <n v="1389"/>
    <d v="2026-04-12T00:00:00"/>
    <s v="C005"/>
    <s v="P106"/>
    <n v="2"/>
    <n v="12000"/>
    <x v="3"/>
    <s v="West"/>
    <s v="Net Banking"/>
    <n v="24000"/>
    <s v="Printer"/>
    <x v="1"/>
    <s v="Rohit Singh"/>
    <x v="4"/>
    <s v="Low"/>
  </r>
  <r>
    <n v="1390"/>
    <d v="2026-06-28T00:00:00"/>
    <s v="C004"/>
    <s v="P110"/>
    <n v="4"/>
    <n v="30000"/>
    <x v="3"/>
    <s v="North"/>
    <s v="UPI"/>
    <n v="120000"/>
    <s v="Smartphone"/>
    <x v="1"/>
    <s v="Sneha Joshi"/>
    <x v="2"/>
    <s v="High"/>
  </r>
  <r>
    <n v="1391"/>
    <d v="2026-04-08T00:00:00"/>
    <s v="C007"/>
    <s v="P102"/>
    <n v="7"/>
    <n v="2500"/>
    <x v="2"/>
    <s v="West"/>
    <s v="UPI"/>
    <n v="17500"/>
    <s v="Keyboard"/>
    <x v="0"/>
    <s v="Karan Mehta"/>
    <x v="8"/>
    <s v="Low"/>
  </r>
  <r>
    <n v="1392"/>
    <d v="2026-02-13T00:00:00"/>
    <s v="C012"/>
    <s v="P101"/>
    <n v="2"/>
    <n v="55000"/>
    <x v="5"/>
    <s v="West"/>
    <s v="Card"/>
    <n v="110000"/>
    <s v="Laptop"/>
    <x v="1"/>
    <s v="Riya Shah"/>
    <x v="7"/>
    <s v="High"/>
  </r>
  <r>
    <n v="1393"/>
    <d v="2026-01-25T00:00:00"/>
    <s v="C014"/>
    <s v="P110"/>
    <n v="1"/>
    <n v="30000"/>
    <x v="0"/>
    <s v="South"/>
    <s v="Net Banking"/>
    <n v="30000"/>
    <s v="Smartphone"/>
    <x v="1"/>
    <s v="Komal Pawar"/>
    <x v="6"/>
    <s v="Low"/>
  </r>
  <r>
    <n v="1394"/>
    <d v="2026-01-20T00:00:00"/>
    <s v="C001"/>
    <s v="P105"/>
    <n v="5"/>
    <n v="3500"/>
    <x v="2"/>
    <s v="Central"/>
    <s v="UPI"/>
    <n v="17500"/>
    <s v="Headphones"/>
    <x v="0"/>
    <s v="Rahul Sharma"/>
    <x v="0"/>
    <s v="Low"/>
  </r>
  <r>
    <n v="1395"/>
    <d v="2026-03-22T00:00:00"/>
    <s v="C015"/>
    <s v="P103"/>
    <n v="1"/>
    <n v="800"/>
    <x v="0"/>
    <s v="Central"/>
    <s v="Cash"/>
    <n v="800"/>
    <s v="Mouse"/>
    <x v="0"/>
    <s v="Nitin More"/>
    <x v="0"/>
    <s v="Low"/>
  </r>
  <r>
    <n v="1396"/>
    <d v="2026-01-20T00:00:00"/>
    <s v="C015"/>
    <s v="P107"/>
    <n v="5"/>
    <n v="22000"/>
    <x v="0"/>
    <s v="Central"/>
    <s v="Cash"/>
    <n v="110000"/>
    <s v="Tablet"/>
    <x v="1"/>
    <s v="Nitin More"/>
    <x v="0"/>
    <s v="High"/>
  </r>
  <r>
    <n v="1397"/>
    <d v="2026-04-10T00:00:00"/>
    <s v="C014"/>
    <s v="P110"/>
    <n v="6"/>
    <n v="30000"/>
    <x v="5"/>
    <s v="South"/>
    <s v="UPI"/>
    <n v="180000"/>
    <s v="Smartphone"/>
    <x v="1"/>
    <s v="Komal Pawar"/>
    <x v="6"/>
    <s v="High"/>
  </r>
  <r>
    <n v="1398"/>
    <d v="2026-03-30T00:00:00"/>
    <s v="C012"/>
    <s v="P109"/>
    <n v="1"/>
    <n v="900"/>
    <x v="1"/>
    <s v="West"/>
    <s v="Cash"/>
    <n v="900"/>
    <s v="USB Drive"/>
    <x v="0"/>
    <s v="Riya Shah"/>
    <x v="7"/>
    <s v="Low"/>
  </r>
  <r>
    <n v="1399"/>
    <d v="2026-06-04T00:00:00"/>
    <s v="C006"/>
    <s v="P102"/>
    <n v="7"/>
    <n v="2500"/>
    <x v="3"/>
    <s v="North"/>
    <s v="Card"/>
    <n v="17500"/>
    <s v="Keyboard"/>
    <x v="0"/>
    <s v="Neha Gupta"/>
    <x v="6"/>
    <s v="Low"/>
  </r>
  <r>
    <n v="1400"/>
    <d v="2026-02-28T00:00:00"/>
    <s v="C008"/>
    <s v="P108"/>
    <n v="6"/>
    <n v="3000"/>
    <x v="2"/>
    <s v="West"/>
    <s v="Net Banking"/>
    <n v="18000"/>
    <s v="Webcam"/>
    <x v="0"/>
    <s v="Pooja Deshmukh"/>
    <x v="3"/>
    <s v="Low"/>
  </r>
  <r>
    <n v="1401"/>
    <d v="2026-05-30T00:00:00"/>
    <s v="C011"/>
    <s v="P103"/>
    <n v="7"/>
    <n v="800"/>
    <x v="1"/>
    <s v="Central"/>
    <s v="Card"/>
    <n v="5600"/>
    <s v="Mouse"/>
    <x v="0"/>
    <s v="Sahil Khan"/>
    <x v="1"/>
    <s v="Low"/>
  </r>
  <r>
    <n v="1402"/>
    <d v="2026-01-19T00:00:00"/>
    <s v="C012"/>
    <s v="P104"/>
    <n v="2"/>
    <n v="15000"/>
    <x v="3"/>
    <s v="South"/>
    <s v="Net Banking"/>
    <n v="30000"/>
    <s v="Monitor"/>
    <x v="1"/>
    <s v="Riya Shah"/>
    <x v="7"/>
    <s v="Low"/>
  </r>
  <r>
    <n v="1403"/>
    <d v="2026-04-10T00:00:00"/>
    <s v="C012"/>
    <s v="P103"/>
    <n v="6"/>
    <n v="800"/>
    <x v="3"/>
    <s v="North"/>
    <s v="UPI"/>
    <n v="4800"/>
    <s v="Mouse"/>
    <x v="0"/>
    <s v="Riya Shah"/>
    <x v="7"/>
    <s v="Low"/>
  </r>
  <r>
    <n v="1404"/>
    <d v="2026-04-24T00:00:00"/>
    <s v="C005"/>
    <s v="P101"/>
    <n v="6"/>
    <n v="55000"/>
    <x v="3"/>
    <s v="North"/>
    <s v="Cash"/>
    <n v="330000"/>
    <s v="Laptop"/>
    <x v="1"/>
    <s v="Rohit Singh"/>
    <x v="4"/>
    <s v="High"/>
  </r>
  <r>
    <n v="1405"/>
    <d v="2026-04-21T00:00:00"/>
    <s v="C003"/>
    <s v="P102"/>
    <n v="8"/>
    <n v="2500"/>
    <x v="2"/>
    <s v="Central"/>
    <s v="Net Banking"/>
    <n v="20000"/>
    <s v="Keyboard"/>
    <x v="0"/>
    <s v="Amit Verma"/>
    <x v="7"/>
    <s v="Low"/>
  </r>
  <r>
    <n v="1406"/>
    <d v="2026-01-23T00:00:00"/>
    <s v="C001"/>
    <s v="P102"/>
    <n v="6"/>
    <n v="2500"/>
    <x v="2"/>
    <s v="North"/>
    <s v="Card"/>
    <n v="15000"/>
    <s v="Keyboard"/>
    <x v="0"/>
    <s v="Rahul Sharma"/>
    <x v="0"/>
    <s v="Low"/>
  </r>
  <r>
    <n v="1407"/>
    <d v="2026-03-16T00:00:00"/>
    <s v="C001"/>
    <s v="P107"/>
    <n v="7"/>
    <n v="22000"/>
    <x v="5"/>
    <s v="North"/>
    <s v="Cash"/>
    <n v="154000"/>
    <s v="Tablet"/>
    <x v="1"/>
    <s v="Rahul Sharma"/>
    <x v="0"/>
    <s v="High"/>
  </r>
  <r>
    <n v="1408"/>
    <d v="2026-02-13T00:00:00"/>
    <s v="C009"/>
    <s v="P110"/>
    <n v="7"/>
    <n v="30000"/>
    <x v="0"/>
    <s v="South"/>
    <s v="Card"/>
    <n v="210000"/>
    <s v="Smartphone"/>
    <x v="1"/>
    <s v="Vikas Yadav"/>
    <x v="5"/>
    <s v="High"/>
  </r>
  <r>
    <n v="1409"/>
    <d v="2026-05-07T00:00:00"/>
    <s v="C005"/>
    <s v="P105"/>
    <n v="3"/>
    <n v="3500"/>
    <x v="1"/>
    <s v="South"/>
    <s v="Net Banking"/>
    <n v="10500"/>
    <s v="Headphones"/>
    <x v="0"/>
    <s v="Rohit Singh"/>
    <x v="4"/>
    <s v="Low"/>
  </r>
  <r>
    <n v="1410"/>
    <d v="2026-03-18T00:00:00"/>
    <s v="C007"/>
    <s v="P105"/>
    <n v="8"/>
    <n v="3500"/>
    <x v="1"/>
    <s v="East"/>
    <s v="Card"/>
    <n v="28000"/>
    <s v="Headphones"/>
    <x v="0"/>
    <s v="Karan Mehta"/>
    <x v="8"/>
    <s v="Low"/>
  </r>
  <r>
    <n v="1411"/>
    <d v="2026-06-10T00:00:00"/>
    <s v="C012"/>
    <s v="P104"/>
    <n v="8"/>
    <n v="15000"/>
    <x v="2"/>
    <s v="Central"/>
    <s v="Cash"/>
    <n v="120000"/>
    <s v="Monitor"/>
    <x v="1"/>
    <s v="Riya Shah"/>
    <x v="7"/>
    <s v="High"/>
  </r>
  <r>
    <n v="1412"/>
    <d v="2026-02-04T00:00:00"/>
    <s v="C002"/>
    <s v="P108"/>
    <n v="5"/>
    <n v="3000"/>
    <x v="1"/>
    <s v="West"/>
    <s v="Card"/>
    <n v="15000"/>
    <s v="Webcam"/>
    <x v="0"/>
    <s v="Priya Patil"/>
    <x v="1"/>
    <s v="Low"/>
  </r>
  <r>
    <n v="1413"/>
    <d v="2026-03-26T00:00:00"/>
    <s v="C007"/>
    <s v="P110"/>
    <n v="8"/>
    <n v="30000"/>
    <x v="3"/>
    <s v="West"/>
    <s v="Cash"/>
    <n v="240000"/>
    <s v="Smartphone"/>
    <x v="1"/>
    <s v="Karan Mehta"/>
    <x v="8"/>
    <s v="High"/>
  </r>
  <r>
    <n v="1414"/>
    <d v="2026-06-04T00:00:00"/>
    <s v="C006"/>
    <s v="P105"/>
    <n v="4"/>
    <n v="3500"/>
    <x v="5"/>
    <s v="East"/>
    <s v="Cash"/>
    <n v="14000"/>
    <s v="Headphones"/>
    <x v="0"/>
    <s v="Neha Gupta"/>
    <x v="6"/>
    <s v="Low"/>
  </r>
  <r>
    <n v="1415"/>
    <d v="2026-03-16T00:00:00"/>
    <s v="C006"/>
    <s v="P107"/>
    <n v="8"/>
    <n v="22000"/>
    <x v="2"/>
    <s v="South"/>
    <s v="Card"/>
    <n v="176000"/>
    <s v="Tablet"/>
    <x v="1"/>
    <s v="Neha Gupta"/>
    <x v="6"/>
    <s v="High"/>
  </r>
  <r>
    <n v="1416"/>
    <d v="2026-04-11T00:00:00"/>
    <s v="C005"/>
    <s v="P107"/>
    <n v="6"/>
    <n v="22000"/>
    <x v="1"/>
    <s v="Central"/>
    <s v="Cash"/>
    <n v="132000"/>
    <s v="Tablet"/>
    <x v="1"/>
    <s v="Rohit Singh"/>
    <x v="4"/>
    <s v="High"/>
  </r>
  <r>
    <n v="1417"/>
    <d v="2026-02-16T00:00:00"/>
    <s v="C009"/>
    <s v="P110"/>
    <n v="1"/>
    <n v="30000"/>
    <x v="4"/>
    <s v="West"/>
    <s v="Cash"/>
    <n v="30000"/>
    <s v="Smartphone"/>
    <x v="1"/>
    <s v="Vikas Yadav"/>
    <x v="5"/>
    <s v="Low"/>
  </r>
  <r>
    <n v="1418"/>
    <d v="2026-03-16T00:00:00"/>
    <s v="C013"/>
    <s v="P108"/>
    <n v="2"/>
    <n v="3000"/>
    <x v="5"/>
    <s v="West"/>
    <s v="Cash"/>
    <n v="6000"/>
    <s v="Webcam"/>
    <x v="0"/>
    <s v="Akash Jain"/>
    <x v="2"/>
    <s v="Low"/>
  </r>
  <r>
    <n v="1419"/>
    <d v="2026-03-06T00:00:00"/>
    <s v="C004"/>
    <s v="P105"/>
    <n v="3"/>
    <n v="3500"/>
    <x v="4"/>
    <s v="West"/>
    <s v="Net Banking"/>
    <n v="10500"/>
    <s v="Headphones"/>
    <x v="0"/>
    <s v="Sneha Joshi"/>
    <x v="2"/>
    <s v="Low"/>
  </r>
  <r>
    <n v="1420"/>
    <d v="2026-06-03T00:00:00"/>
    <s v="C008"/>
    <s v="P102"/>
    <n v="8"/>
    <n v="2500"/>
    <x v="2"/>
    <s v="West"/>
    <s v="Net Banking"/>
    <n v="20000"/>
    <s v="Keyboard"/>
    <x v="0"/>
    <s v="Pooja Deshmukh"/>
    <x v="3"/>
    <s v="Low"/>
  </r>
  <r>
    <n v="1421"/>
    <d v="2026-04-03T00:00:00"/>
    <s v="C001"/>
    <s v="P109"/>
    <n v="2"/>
    <n v="900"/>
    <x v="1"/>
    <s v="South"/>
    <s v="Card"/>
    <n v="1800"/>
    <s v="USB Drive"/>
    <x v="0"/>
    <s v="Rahul Sharma"/>
    <x v="0"/>
    <s v="Low"/>
  </r>
  <r>
    <n v="1422"/>
    <d v="2026-06-06T00:00:00"/>
    <s v="C011"/>
    <s v="P103"/>
    <n v="1"/>
    <n v="800"/>
    <x v="2"/>
    <s v="West"/>
    <s v="Card"/>
    <n v="800"/>
    <s v="Mouse"/>
    <x v="0"/>
    <s v="Sahil Khan"/>
    <x v="1"/>
    <s v="Low"/>
  </r>
  <r>
    <n v="1423"/>
    <d v="2026-01-03T00:00:00"/>
    <s v="C002"/>
    <s v="P107"/>
    <n v="2"/>
    <n v="22000"/>
    <x v="3"/>
    <s v="South"/>
    <s v="Cash"/>
    <n v="44000"/>
    <s v="Tablet"/>
    <x v="1"/>
    <s v="Priya Patil"/>
    <x v="1"/>
    <s v="Low"/>
  </r>
  <r>
    <n v="1424"/>
    <d v="2026-04-11T00:00:00"/>
    <s v="C006"/>
    <s v="P108"/>
    <n v="8"/>
    <n v="3000"/>
    <x v="4"/>
    <s v="Central"/>
    <s v="Cash"/>
    <n v="24000"/>
    <s v="Webcam"/>
    <x v="0"/>
    <s v="Neha Gupta"/>
    <x v="6"/>
    <s v="Low"/>
  </r>
  <r>
    <n v="1425"/>
    <d v="2026-05-04T00:00:00"/>
    <s v="C001"/>
    <s v="P106"/>
    <n v="2"/>
    <n v="12000"/>
    <x v="3"/>
    <s v="West"/>
    <s v="UPI"/>
    <n v="24000"/>
    <s v="Printer"/>
    <x v="1"/>
    <s v="Rahul Sharma"/>
    <x v="0"/>
    <s v="Low"/>
  </r>
  <r>
    <n v="1426"/>
    <d v="2026-02-06T00:00:00"/>
    <s v="C014"/>
    <s v="P102"/>
    <n v="6"/>
    <n v="2500"/>
    <x v="3"/>
    <s v="East"/>
    <s v="Net Banking"/>
    <n v="15000"/>
    <s v="Keyboard"/>
    <x v="0"/>
    <s v="Komal Pawar"/>
    <x v="6"/>
    <s v="Low"/>
  </r>
  <r>
    <n v="1427"/>
    <d v="2026-05-04T00:00:00"/>
    <s v="C009"/>
    <s v="P104"/>
    <n v="6"/>
    <n v="15000"/>
    <x v="5"/>
    <s v="North"/>
    <s v="Net Banking"/>
    <n v="90000"/>
    <s v="Monitor"/>
    <x v="1"/>
    <s v="Vikas Yadav"/>
    <x v="5"/>
    <s v="High"/>
  </r>
  <r>
    <n v="1428"/>
    <d v="2026-01-18T00:00:00"/>
    <s v="C006"/>
    <s v="P108"/>
    <n v="5"/>
    <n v="3000"/>
    <x v="1"/>
    <s v="North"/>
    <s v="UPI"/>
    <n v="15000"/>
    <s v="Webcam"/>
    <x v="0"/>
    <s v="Neha Gupta"/>
    <x v="6"/>
    <s v="Low"/>
  </r>
  <r>
    <n v="1429"/>
    <d v="2026-01-28T00:00:00"/>
    <s v="C011"/>
    <s v="P106"/>
    <n v="3"/>
    <n v="12000"/>
    <x v="4"/>
    <s v="South"/>
    <s v="Cash"/>
    <n v="36000"/>
    <s v="Printer"/>
    <x v="1"/>
    <s v="Sahil Khan"/>
    <x v="1"/>
    <s v="Low"/>
  </r>
  <r>
    <n v="1430"/>
    <d v="2026-03-26T00:00:00"/>
    <s v="C003"/>
    <s v="P109"/>
    <n v="7"/>
    <n v="900"/>
    <x v="5"/>
    <s v="South"/>
    <s v="Net Banking"/>
    <n v="6300"/>
    <s v="USB Drive"/>
    <x v="0"/>
    <s v="Amit Verma"/>
    <x v="7"/>
    <s v="Low"/>
  </r>
  <r>
    <n v="1431"/>
    <d v="2026-06-13T00:00:00"/>
    <s v="C003"/>
    <s v="P103"/>
    <n v="7"/>
    <n v="800"/>
    <x v="5"/>
    <s v="North"/>
    <s v="Cash"/>
    <n v="5600"/>
    <s v="Mouse"/>
    <x v="0"/>
    <s v="Amit Verma"/>
    <x v="7"/>
    <s v="Low"/>
  </r>
  <r>
    <n v="1432"/>
    <d v="2026-04-20T00:00:00"/>
    <s v="C010"/>
    <s v="P108"/>
    <n v="7"/>
    <n v="3000"/>
    <x v="1"/>
    <s v="South"/>
    <s v="Cash"/>
    <n v="21000"/>
    <s v="Webcam"/>
    <x v="0"/>
    <s v="Anjali Kulkarni"/>
    <x v="0"/>
    <s v="Low"/>
  </r>
  <r>
    <n v="1433"/>
    <d v="2026-06-30T00:00:00"/>
    <s v="C013"/>
    <s v="P105"/>
    <n v="2"/>
    <n v="3500"/>
    <x v="2"/>
    <s v="North"/>
    <s v="Cash"/>
    <n v="7000"/>
    <s v="Headphones"/>
    <x v="0"/>
    <s v="Akash Jain"/>
    <x v="2"/>
    <s v="Low"/>
  </r>
  <r>
    <n v="1434"/>
    <d v="2026-02-20T00:00:00"/>
    <s v="C006"/>
    <s v="P106"/>
    <n v="8"/>
    <n v="12000"/>
    <x v="1"/>
    <s v="East"/>
    <s v="Net Banking"/>
    <n v="96000"/>
    <s v="Printer"/>
    <x v="1"/>
    <s v="Neha Gupta"/>
    <x v="6"/>
    <s v="High"/>
  </r>
  <r>
    <n v="1435"/>
    <d v="2026-03-22T00:00:00"/>
    <s v="C011"/>
    <s v="P109"/>
    <n v="7"/>
    <n v="900"/>
    <x v="2"/>
    <s v="West"/>
    <s v="UPI"/>
    <n v="6300"/>
    <s v="USB Drive"/>
    <x v="0"/>
    <s v="Sahil Khan"/>
    <x v="1"/>
    <s v="Low"/>
  </r>
  <r>
    <n v="1436"/>
    <d v="2026-04-28T00:00:00"/>
    <s v="C006"/>
    <s v="P106"/>
    <n v="3"/>
    <n v="12000"/>
    <x v="4"/>
    <s v="East"/>
    <s v="UPI"/>
    <n v="36000"/>
    <s v="Printer"/>
    <x v="1"/>
    <s v="Neha Gupta"/>
    <x v="6"/>
    <s v="Low"/>
  </r>
  <r>
    <n v="1437"/>
    <d v="2026-01-31T00:00:00"/>
    <s v="C006"/>
    <s v="P103"/>
    <n v="4"/>
    <n v="800"/>
    <x v="3"/>
    <s v="North"/>
    <s v="Cash"/>
    <n v="3200"/>
    <s v="Mouse"/>
    <x v="0"/>
    <s v="Neha Gupta"/>
    <x v="6"/>
    <s v="Low"/>
  </r>
  <r>
    <n v="1438"/>
    <d v="2026-02-06T00:00:00"/>
    <s v="C012"/>
    <s v="P106"/>
    <n v="7"/>
    <n v="12000"/>
    <x v="5"/>
    <s v="Central"/>
    <s v="Cash"/>
    <n v="84000"/>
    <s v="Printer"/>
    <x v="1"/>
    <s v="Riya Shah"/>
    <x v="7"/>
    <s v="High"/>
  </r>
  <r>
    <n v="1439"/>
    <d v="2026-04-19T00:00:00"/>
    <s v="C007"/>
    <s v="P110"/>
    <n v="3"/>
    <n v="30000"/>
    <x v="5"/>
    <s v="Central"/>
    <s v="Cash"/>
    <n v="90000"/>
    <s v="Smartphone"/>
    <x v="1"/>
    <s v="Karan Mehta"/>
    <x v="8"/>
    <s v="High"/>
  </r>
  <r>
    <n v="1440"/>
    <d v="2026-05-06T00:00:00"/>
    <s v="C003"/>
    <s v="P109"/>
    <n v="5"/>
    <n v="900"/>
    <x v="0"/>
    <s v="South"/>
    <s v="Card"/>
    <n v="4500"/>
    <s v="USB Drive"/>
    <x v="0"/>
    <s v="Amit Verma"/>
    <x v="7"/>
    <s v="Low"/>
  </r>
  <r>
    <n v="1441"/>
    <d v="2026-01-14T00:00:00"/>
    <s v="C010"/>
    <s v="P108"/>
    <n v="6"/>
    <n v="3000"/>
    <x v="1"/>
    <s v="West"/>
    <s v="Cash"/>
    <n v="18000"/>
    <s v="Webcam"/>
    <x v="0"/>
    <s v="Anjali Kulkarni"/>
    <x v="0"/>
    <s v="Low"/>
  </r>
  <r>
    <n v="1442"/>
    <d v="2026-04-09T00:00:00"/>
    <s v="C014"/>
    <s v="P104"/>
    <n v="8"/>
    <n v="15000"/>
    <x v="5"/>
    <s v="West"/>
    <s v="Net Banking"/>
    <n v="120000"/>
    <s v="Monitor"/>
    <x v="1"/>
    <s v="Komal Pawar"/>
    <x v="6"/>
    <s v="High"/>
  </r>
  <r>
    <n v="1443"/>
    <d v="2026-02-12T00:00:00"/>
    <s v="C008"/>
    <s v="P108"/>
    <n v="2"/>
    <n v="3000"/>
    <x v="2"/>
    <s v="North"/>
    <s v="Cash"/>
    <n v="6000"/>
    <s v="Webcam"/>
    <x v="0"/>
    <s v="Pooja Deshmukh"/>
    <x v="3"/>
    <s v="Low"/>
  </r>
  <r>
    <n v="1444"/>
    <d v="2026-03-12T00:00:00"/>
    <s v="C001"/>
    <s v="P105"/>
    <n v="4"/>
    <n v="3500"/>
    <x v="2"/>
    <s v="East"/>
    <s v="Cash"/>
    <n v="14000"/>
    <s v="Headphones"/>
    <x v="0"/>
    <s v="Rahul Sharma"/>
    <x v="0"/>
    <s v="Low"/>
  </r>
  <r>
    <n v="1445"/>
    <d v="2026-05-07T00:00:00"/>
    <s v="C010"/>
    <s v="P108"/>
    <n v="2"/>
    <n v="3000"/>
    <x v="2"/>
    <s v="North"/>
    <s v="Card"/>
    <n v="6000"/>
    <s v="Webcam"/>
    <x v="0"/>
    <s v="Anjali Kulkarni"/>
    <x v="0"/>
    <s v="Low"/>
  </r>
  <r>
    <n v="1446"/>
    <d v="2026-04-04T00:00:00"/>
    <s v="C014"/>
    <s v="P109"/>
    <n v="1"/>
    <n v="900"/>
    <x v="4"/>
    <s v="West"/>
    <s v="Cash"/>
    <n v="900"/>
    <s v="USB Drive"/>
    <x v="0"/>
    <s v="Komal Pawar"/>
    <x v="6"/>
    <s v="Low"/>
  </r>
  <r>
    <n v="1447"/>
    <d v="2026-06-17T00:00:00"/>
    <s v="C002"/>
    <s v="P107"/>
    <n v="4"/>
    <n v="22000"/>
    <x v="3"/>
    <s v="North"/>
    <s v="Net Banking"/>
    <n v="88000"/>
    <s v="Tablet"/>
    <x v="1"/>
    <s v="Priya Patil"/>
    <x v="1"/>
    <s v="High"/>
  </r>
  <r>
    <n v="1448"/>
    <d v="2026-01-23T00:00:00"/>
    <s v="C006"/>
    <s v="P105"/>
    <n v="8"/>
    <n v="3500"/>
    <x v="1"/>
    <s v="South"/>
    <s v="Cash"/>
    <n v="28000"/>
    <s v="Headphones"/>
    <x v="0"/>
    <s v="Neha Gupta"/>
    <x v="6"/>
    <s v="Low"/>
  </r>
  <r>
    <n v="1449"/>
    <d v="2026-03-31T00:00:00"/>
    <s v="C012"/>
    <s v="P110"/>
    <n v="7"/>
    <n v="30000"/>
    <x v="0"/>
    <s v="Central"/>
    <s v="Cash"/>
    <n v="210000"/>
    <s v="Smartphone"/>
    <x v="1"/>
    <s v="Riya Shah"/>
    <x v="7"/>
    <s v="High"/>
  </r>
  <r>
    <n v="1450"/>
    <d v="2026-02-22T00:00:00"/>
    <s v="C014"/>
    <s v="P104"/>
    <n v="1"/>
    <n v="15000"/>
    <x v="2"/>
    <s v="East"/>
    <s v="Card"/>
    <n v="15000"/>
    <s v="Monitor"/>
    <x v="1"/>
    <s v="Komal Pawar"/>
    <x v="6"/>
    <s v="Low"/>
  </r>
  <r>
    <n v="1451"/>
    <d v="2026-02-13T00:00:00"/>
    <s v="C009"/>
    <s v="P110"/>
    <n v="6"/>
    <n v="30000"/>
    <x v="4"/>
    <s v="East"/>
    <s v="Card"/>
    <n v="180000"/>
    <s v="Smartphone"/>
    <x v="1"/>
    <s v="Vikas Yadav"/>
    <x v="5"/>
    <s v="High"/>
  </r>
  <r>
    <n v="1452"/>
    <d v="2026-05-12T00:00:00"/>
    <s v="C005"/>
    <s v="P110"/>
    <n v="2"/>
    <n v="30000"/>
    <x v="0"/>
    <s v="West"/>
    <s v="UPI"/>
    <n v="60000"/>
    <s v="Smartphone"/>
    <x v="1"/>
    <s v="Rohit Singh"/>
    <x v="4"/>
    <s v="High"/>
  </r>
  <r>
    <n v="1453"/>
    <d v="2026-06-17T00:00:00"/>
    <s v="C014"/>
    <s v="P105"/>
    <n v="3"/>
    <n v="3500"/>
    <x v="4"/>
    <s v="South"/>
    <s v="Cash"/>
    <n v="10500"/>
    <s v="Headphones"/>
    <x v="0"/>
    <s v="Komal Pawar"/>
    <x v="6"/>
    <s v="Low"/>
  </r>
  <r>
    <n v="1454"/>
    <d v="2026-03-24T00:00:00"/>
    <s v="C012"/>
    <s v="P103"/>
    <n v="4"/>
    <n v="800"/>
    <x v="4"/>
    <s v="West"/>
    <s v="Net Banking"/>
    <n v="3200"/>
    <s v="Mouse"/>
    <x v="0"/>
    <s v="Riya Shah"/>
    <x v="7"/>
    <s v="Low"/>
  </r>
  <r>
    <n v="1455"/>
    <d v="2026-06-11T00:00:00"/>
    <s v="C010"/>
    <s v="P103"/>
    <n v="5"/>
    <n v="800"/>
    <x v="4"/>
    <s v="West"/>
    <s v="Net Banking"/>
    <n v="4000"/>
    <s v="Mouse"/>
    <x v="0"/>
    <s v="Anjali Kulkarni"/>
    <x v="0"/>
    <s v="Low"/>
  </r>
  <r>
    <n v="1456"/>
    <d v="2026-06-12T00:00:00"/>
    <s v="C002"/>
    <s v="P108"/>
    <n v="2"/>
    <n v="3000"/>
    <x v="5"/>
    <s v="Central"/>
    <s v="Card"/>
    <n v="6000"/>
    <s v="Webcam"/>
    <x v="0"/>
    <s v="Priya Patil"/>
    <x v="1"/>
    <s v="Low"/>
  </r>
  <r>
    <n v="1457"/>
    <d v="2026-05-05T00:00:00"/>
    <s v="C008"/>
    <s v="P106"/>
    <n v="6"/>
    <n v="12000"/>
    <x v="2"/>
    <s v="North"/>
    <s v="UPI"/>
    <n v="72000"/>
    <s v="Printer"/>
    <x v="1"/>
    <s v="Pooja Deshmukh"/>
    <x v="3"/>
    <s v="High"/>
  </r>
  <r>
    <n v="1458"/>
    <d v="2026-06-20T00:00:00"/>
    <s v="C011"/>
    <s v="P108"/>
    <n v="6"/>
    <n v="3000"/>
    <x v="1"/>
    <s v="Central"/>
    <s v="Net Banking"/>
    <n v="18000"/>
    <s v="Webcam"/>
    <x v="0"/>
    <s v="Sahil Khan"/>
    <x v="1"/>
    <s v="Low"/>
  </r>
  <r>
    <n v="1459"/>
    <d v="2026-02-24T00:00:00"/>
    <s v="C007"/>
    <s v="P104"/>
    <n v="8"/>
    <n v="15000"/>
    <x v="3"/>
    <s v="East"/>
    <s v="Card"/>
    <n v="120000"/>
    <s v="Monitor"/>
    <x v="1"/>
    <s v="Karan Mehta"/>
    <x v="8"/>
    <s v="High"/>
  </r>
  <r>
    <n v="1460"/>
    <d v="2026-05-28T00:00:00"/>
    <s v="C009"/>
    <s v="P106"/>
    <n v="3"/>
    <n v="12000"/>
    <x v="2"/>
    <s v="West"/>
    <s v="Card"/>
    <n v="36000"/>
    <s v="Printer"/>
    <x v="1"/>
    <s v="Vikas Yadav"/>
    <x v="5"/>
    <s v="Low"/>
  </r>
  <r>
    <n v="1461"/>
    <d v="2026-01-26T00:00:00"/>
    <s v="C001"/>
    <s v="P101"/>
    <n v="8"/>
    <n v="55000"/>
    <x v="1"/>
    <s v="North"/>
    <s v="Cash"/>
    <n v="440000"/>
    <s v="Laptop"/>
    <x v="1"/>
    <s v="Rahul Sharma"/>
    <x v="0"/>
    <s v="High"/>
  </r>
  <r>
    <n v="1462"/>
    <d v="2026-01-01T00:00:00"/>
    <s v="C008"/>
    <s v="P108"/>
    <n v="7"/>
    <n v="3000"/>
    <x v="0"/>
    <s v="South"/>
    <s v="Card"/>
    <n v="21000"/>
    <s v="Webcam"/>
    <x v="0"/>
    <s v="Pooja Deshmukh"/>
    <x v="3"/>
    <s v="Low"/>
  </r>
  <r>
    <n v="1463"/>
    <d v="2026-03-12T00:00:00"/>
    <s v="C014"/>
    <s v="P103"/>
    <n v="2"/>
    <n v="800"/>
    <x v="4"/>
    <s v="East"/>
    <s v="Card"/>
    <n v="1600"/>
    <s v="Mouse"/>
    <x v="0"/>
    <s v="Komal Pawar"/>
    <x v="6"/>
    <s v="Low"/>
  </r>
  <r>
    <n v="1464"/>
    <d v="2026-06-20T00:00:00"/>
    <s v="C006"/>
    <s v="P102"/>
    <n v="3"/>
    <n v="2500"/>
    <x v="1"/>
    <s v="West"/>
    <s v="Card"/>
    <n v="7500"/>
    <s v="Keyboard"/>
    <x v="0"/>
    <s v="Neha Gupta"/>
    <x v="6"/>
    <s v="Low"/>
  </r>
  <r>
    <n v="1465"/>
    <d v="2026-06-17T00:00:00"/>
    <s v="C007"/>
    <s v="P104"/>
    <n v="2"/>
    <n v="15000"/>
    <x v="4"/>
    <s v="North"/>
    <s v="UPI"/>
    <n v="30000"/>
    <s v="Monitor"/>
    <x v="1"/>
    <s v="Karan Mehta"/>
    <x v="8"/>
    <s v="Low"/>
  </r>
  <r>
    <n v="1466"/>
    <d v="2026-01-20T00:00:00"/>
    <s v="C008"/>
    <s v="P104"/>
    <n v="3"/>
    <n v="15000"/>
    <x v="2"/>
    <s v="South"/>
    <s v="Net Banking"/>
    <n v="45000"/>
    <s v="Monitor"/>
    <x v="1"/>
    <s v="Pooja Deshmukh"/>
    <x v="3"/>
    <s v="Low"/>
  </r>
  <r>
    <n v="1467"/>
    <d v="2026-06-28T00:00:00"/>
    <s v="C001"/>
    <s v="P101"/>
    <n v="6"/>
    <n v="55000"/>
    <x v="1"/>
    <s v="West"/>
    <s v="Cash"/>
    <n v="330000"/>
    <s v="Laptop"/>
    <x v="1"/>
    <s v="Rahul Sharma"/>
    <x v="0"/>
    <s v="High"/>
  </r>
  <r>
    <n v="1468"/>
    <d v="2026-02-28T00:00:00"/>
    <s v="C002"/>
    <s v="P108"/>
    <n v="7"/>
    <n v="3000"/>
    <x v="1"/>
    <s v="North"/>
    <s v="UPI"/>
    <n v="21000"/>
    <s v="Webcam"/>
    <x v="0"/>
    <s v="Priya Patil"/>
    <x v="1"/>
    <s v="Low"/>
  </r>
  <r>
    <n v="1469"/>
    <d v="2026-03-18T00:00:00"/>
    <s v="C006"/>
    <s v="P106"/>
    <n v="3"/>
    <n v="12000"/>
    <x v="5"/>
    <s v="South"/>
    <s v="Cash"/>
    <n v="36000"/>
    <s v="Printer"/>
    <x v="1"/>
    <s v="Neha Gupta"/>
    <x v="6"/>
    <s v="Low"/>
  </r>
  <r>
    <n v="1470"/>
    <d v="2026-05-25T00:00:00"/>
    <s v="C009"/>
    <s v="P102"/>
    <n v="1"/>
    <n v="2500"/>
    <x v="2"/>
    <s v="South"/>
    <s v="Net Banking"/>
    <n v="2500"/>
    <s v="Keyboard"/>
    <x v="0"/>
    <s v="Vikas Yadav"/>
    <x v="5"/>
    <s v="Low"/>
  </r>
  <r>
    <n v="1471"/>
    <d v="2026-02-24T00:00:00"/>
    <s v="C012"/>
    <s v="P106"/>
    <n v="3"/>
    <n v="12000"/>
    <x v="5"/>
    <s v="Central"/>
    <s v="Net Banking"/>
    <n v="36000"/>
    <s v="Printer"/>
    <x v="1"/>
    <s v="Riya Shah"/>
    <x v="7"/>
    <s v="Low"/>
  </r>
  <r>
    <n v="1472"/>
    <d v="2026-01-26T00:00:00"/>
    <s v="C002"/>
    <s v="P104"/>
    <n v="3"/>
    <n v="15000"/>
    <x v="1"/>
    <s v="Central"/>
    <s v="Net Banking"/>
    <n v="45000"/>
    <s v="Monitor"/>
    <x v="1"/>
    <s v="Priya Patil"/>
    <x v="1"/>
    <s v="Low"/>
  </r>
  <r>
    <n v="1473"/>
    <d v="2026-03-22T00:00:00"/>
    <s v="C007"/>
    <s v="P106"/>
    <n v="3"/>
    <n v="12000"/>
    <x v="0"/>
    <s v="East"/>
    <s v="UPI"/>
    <n v="36000"/>
    <s v="Printer"/>
    <x v="1"/>
    <s v="Karan Mehta"/>
    <x v="8"/>
    <s v="Low"/>
  </r>
  <r>
    <n v="1474"/>
    <d v="2026-06-03T00:00:00"/>
    <s v="C009"/>
    <s v="P104"/>
    <n v="5"/>
    <n v="15000"/>
    <x v="4"/>
    <s v="North"/>
    <s v="Card"/>
    <n v="75000"/>
    <s v="Monitor"/>
    <x v="1"/>
    <s v="Vikas Yadav"/>
    <x v="5"/>
    <s v="High"/>
  </r>
  <r>
    <n v="1475"/>
    <d v="2026-06-05T00:00:00"/>
    <s v="C009"/>
    <s v="P104"/>
    <n v="4"/>
    <n v="15000"/>
    <x v="4"/>
    <s v="West"/>
    <s v="Card"/>
    <n v="60000"/>
    <s v="Monitor"/>
    <x v="1"/>
    <s v="Vikas Yadav"/>
    <x v="5"/>
    <s v="High"/>
  </r>
  <r>
    <n v="1476"/>
    <d v="2026-03-03T00:00:00"/>
    <s v="C013"/>
    <s v="P101"/>
    <n v="8"/>
    <n v="55000"/>
    <x v="5"/>
    <s v="North"/>
    <s v="Cash"/>
    <n v="440000"/>
    <s v="Laptop"/>
    <x v="1"/>
    <s v="Akash Jain"/>
    <x v="2"/>
    <s v="High"/>
  </r>
  <r>
    <n v="1477"/>
    <d v="2026-06-02T00:00:00"/>
    <s v="C011"/>
    <s v="P108"/>
    <n v="2"/>
    <n v="3000"/>
    <x v="2"/>
    <s v="North"/>
    <s v="Card"/>
    <n v="6000"/>
    <s v="Webcam"/>
    <x v="0"/>
    <s v="Sahil Khan"/>
    <x v="1"/>
    <s v="Low"/>
  </r>
  <r>
    <n v="1478"/>
    <d v="2026-04-10T00:00:00"/>
    <s v="C003"/>
    <s v="P106"/>
    <n v="7"/>
    <n v="12000"/>
    <x v="3"/>
    <s v="Central"/>
    <s v="Cash"/>
    <n v="84000"/>
    <s v="Printer"/>
    <x v="1"/>
    <s v="Amit Verma"/>
    <x v="7"/>
    <s v="High"/>
  </r>
  <r>
    <n v="1479"/>
    <d v="2026-01-19T00:00:00"/>
    <s v="C013"/>
    <s v="P108"/>
    <n v="1"/>
    <n v="3000"/>
    <x v="2"/>
    <s v="North"/>
    <s v="UPI"/>
    <n v="3000"/>
    <s v="Webcam"/>
    <x v="0"/>
    <s v="Akash Jain"/>
    <x v="2"/>
    <s v="Low"/>
  </r>
  <r>
    <n v="1480"/>
    <d v="2026-01-11T00:00:00"/>
    <s v="C004"/>
    <s v="P105"/>
    <n v="1"/>
    <n v="3500"/>
    <x v="5"/>
    <s v="Central"/>
    <s v="Card"/>
    <n v="3500"/>
    <s v="Headphones"/>
    <x v="0"/>
    <s v="Sneha Joshi"/>
    <x v="2"/>
    <s v="Low"/>
  </r>
  <r>
    <n v="1481"/>
    <d v="2026-04-17T00:00:00"/>
    <s v="C013"/>
    <s v="P109"/>
    <n v="7"/>
    <n v="900"/>
    <x v="4"/>
    <s v="West"/>
    <s v="UPI"/>
    <n v="6300"/>
    <s v="USB Drive"/>
    <x v="0"/>
    <s v="Akash Jain"/>
    <x v="2"/>
    <s v="Low"/>
  </r>
  <r>
    <n v="1482"/>
    <d v="2026-06-07T00:00:00"/>
    <s v="C009"/>
    <s v="P109"/>
    <n v="3"/>
    <n v="900"/>
    <x v="3"/>
    <s v="North"/>
    <s v="Card"/>
    <n v="2700"/>
    <s v="USB Drive"/>
    <x v="0"/>
    <s v="Vikas Yadav"/>
    <x v="5"/>
    <s v="Low"/>
  </r>
  <r>
    <n v="1483"/>
    <d v="2026-02-22T00:00:00"/>
    <s v="C009"/>
    <s v="P102"/>
    <n v="3"/>
    <n v="2500"/>
    <x v="2"/>
    <s v="East"/>
    <s v="Net Banking"/>
    <n v="7500"/>
    <s v="Keyboard"/>
    <x v="0"/>
    <s v="Vikas Yadav"/>
    <x v="5"/>
    <s v="Low"/>
  </r>
  <r>
    <n v="1484"/>
    <d v="2026-06-16T00:00:00"/>
    <s v="C011"/>
    <s v="P110"/>
    <n v="2"/>
    <n v="30000"/>
    <x v="3"/>
    <s v="West"/>
    <s v="Cash"/>
    <n v="60000"/>
    <s v="Smartphone"/>
    <x v="1"/>
    <s v="Sahil Khan"/>
    <x v="1"/>
    <s v="High"/>
  </r>
  <r>
    <n v="1485"/>
    <d v="2026-01-23T00:00:00"/>
    <s v="C004"/>
    <s v="P101"/>
    <n v="7"/>
    <n v="55000"/>
    <x v="1"/>
    <s v="West"/>
    <s v="UPI"/>
    <n v="385000"/>
    <s v="Laptop"/>
    <x v="1"/>
    <s v="Sneha Joshi"/>
    <x v="2"/>
    <s v="High"/>
  </r>
  <r>
    <n v="1486"/>
    <d v="2026-06-18T00:00:00"/>
    <s v="C011"/>
    <s v="P105"/>
    <n v="3"/>
    <n v="3500"/>
    <x v="1"/>
    <s v="North"/>
    <s v="Cash"/>
    <n v="10500"/>
    <s v="Headphones"/>
    <x v="0"/>
    <s v="Sahil Khan"/>
    <x v="1"/>
    <s v="Low"/>
  </r>
  <r>
    <n v="1487"/>
    <d v="2026-05-08T00:00:00"/>
    <s v="C003"/>
    <s v="P101"/>
    <n v="6"/>
    <n v="55000"/>
    <x v="2"/>
    <s v="Central"/>
    <s v="Card"/>
    <n v="330000"/>
    <s v="Laptop"/>
    <x v="1"/>
    <s v="Amit Verma"/>
    <x v="7"/>
    <s v="High"/>
  </r>
  <r>
    <n v="1488"/>
    <d v="2026-02-02T00:00:00"/>
    <s v="C006"/>
    <s v="P103"/>
    <n v="5"/>
    <n v="800"/>
    <x v="4"/>
    <s v="North"/>
    <s v="UPI"/>
    <n v="4000"/>
    <s v="Mouse"/>
    <x v="0"/>
    <s v="Neha Gupta"/>
    <x v="6"/>
    <s v="Low"/>
  </r>
  <r>
    <n v="1489"/>
    <d v="2026-04-20T00:00:00"/>
    <s v="C013"/>
    <s v="P106"/>
    <n v="5"/>
    <n v="12000"/>
    <x v="2"/>
    <s v="North"/>
    <s v="Card"/>
    <n v="60000"/>
    <s v="Printer"/>
    <x v="1"/>
    <s v="Akash Jain"/>
    <x v="2"/>
    <s v="High"/>
  </r>
  <r>
    <n v="1490"/>
    <d v="2026-01-20T00:00:00"/>
    <s v="C011"/>
    <s v="P110"/>
    <n v="8"/>
    <n v="30000"/>
    <x v="5"/>
    <s v="Central"/>
    <s v="Card"/>
    <n v="240000"/>
    <s v="Smartphone"/>
    <x v="1"/>
    <s v="Sahil Khan"/>
    <x v="1"/>
    <s v="High"/>
  </r>
  <r>
    <n v="1491"/>
    <d v="2026-05-26T00:00:00"/>
    <s v="C008"/>
    <s v="P101"/>
    <n v="3"/>
    <n v="55000"/>
    <x v="3"/>
    <s v="South"/>
    <s v="Card"/>
    <n v="165000"/>
    <s v="Laptop"/>
    <x v="1"/>
    <s v="Pooja Deshmukh"/>
    <x v="3"/>
    <s v="High"/>
  </r>
  <r>
    <n v="1492"/>
    <d v="2026-05-27T00:00:00"/>
    <s v="C015"/>
    <s v="P102"/>
    <n v="2"/>
    <n v="2500"/>
    <x v="0"/>
    <s v="Central"/>
    <s v="UPI"/>
    <n v="5000"/>
    <s v="Keyboard"/>
    <x v="0"/>
    <s v="Nitin More"/>
    <x v="0"/>
    <s v="Low"/>
  </r>
  <r>
    <n v="1493"/>
    <d v="2026-01-04T00:00:00"/>
    <s v="C014"/>
    <s v="P101"/>
    <n v="4"/>
    <n v="55000"/>
    <x v="1"/>
    <s v="West"/>
    <s v="Card"/>
    <n v="220000"/>
    <s v="Laptop"/>
    <x v="1"/>
    <s v="Komal Pawar"/>
    <x v="6"/>
    <s v="High"/>
  </r>
  <r>
    <n v="1494"/>
    <d v="2026-02-08T00:00:00"/>
    <s v="C015"/>
    <s v="P107"/>
    <n v="3"/>
    <n v="22000"/>
    <x v="1"/>
    <s v="Central"/>
    <s v="Net Banking"/>
    <n v="66000"/>
    <s v="Tablet"/>
    <x v="1"/>
    <s v="Nitin More"/>
    <x v="0"/>
    <s v="High"/>
  </r>
  <r>
    <n v="1495"/>
    <d v="2026-03-05T00:00:00"/>
    <s v="C006"/>
    <s v="P104"/>
    <n v="7"/>
    <n v="15000"/>
    <x v="4"/>
    <s v="East"/>
    <s v="Card"/>
    <n v="105000"/>
    <s v="Monitor"/>
    <x v="1"/>
    <s v="Neha Gupta"/>
    <x v="6"/>
    <s v="High"/>
  </r>
  <r>
    <n v="1496"/>
    <d v="2026-04-06T00:00:00"/>
    <s v="C010"/>
    <s v="P102"/>
    <n v="2"/>
    <n v="2500"/>
    <x v="2"/>
    <s v="North"/>
    <s v="Cash"/>
    <n v="5000"/>
    <s v="Keyboard"/>
    <x v="0"/>
    <s v="Anjali Kulkarni"/>
    <x v="0"/>
    <s v="Low"/>
  </r>
  <r>
    <n v="1497"/>
    <d v="2026-05-13T00:00:00"/>
    <s v="C013"/>
    <s v="P104"/>
    <n v="1"/>
    <n v="15000"/>
    <x v="5"/>
    <s v="North"/>
    <s v="Net Banking"/>
    <n v="15000"/>
    <s v="Monitor"/>
    <x v="1"/>
    <s v="Akash Jain"/>
    <x v="2"/>
    <s v="Low"/>
  </r>
  <r>
    <n v="1498"/>
    <d v="2026-03-21T00:00:00"/>
    <s v="C013"/>
    <s v="P105"/>
    <n v="6"/>
    <n v="3500"/>
    <x v="1"/>
    <s v="Central"/>
    <s v="Net Banking"/>
    <n v="21000"/>
    <s v="Headphones"/>
    <x v="0"/>
    <s v="Akash Jain"/>
    <x v="2"/>
    <s v="Low"/>
  </r>
  <r>
    <n v="1499"/>
    <d v="2026-02-21T00:00:00"/>
    <s v="C006"/>
    <s v="P101"/>
    <n v="5"/>
    <n v="55000"/>
    <x v="2"/>
    <s v="East"/>
    <s v="Cash"/>
    <n v="275000"/>
    <s v="Laptop"/>
    <x v="1"/>
    <s v="Neha Gupta"/>
    <x v="6"/>
    <s v="High"/>
  </r>
  <r>
    <n v="1500"/>
    <d v="2026-06-01T00:00:00"/>
    <s v="C006"/>
    <s v="P108"/>
    <n v="8"/>
    <n v="3000"/>
    <x v="0"/>
    <s v="Central"/>
    <s v="Cash"/>
    <n v="24000"/>
    <s v="Webcam"/>
    <x v="0"/>
    <s v="Neha Gupta"/>
    <x v="6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99705-6273-49F6-BE9D-AC21F4E337B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y">
  <location ref="C10:D20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>
      <items count="7">
        <item x="1"/>
        <item x="0"/>
        <item x="5"/>
        <item x="3"/>
        <item x="2"/>
        <item x="4"/>
        <item t="default"/>
      </items>
    </pivotField>
    <pivotField showAll="0"/>
    <pivotField showAll="0"/>
    <pivotField dataField="1" showAll="0"/>
    <pivotField showAll="0"/>
    <pivotField showAll="0">
      <items count="4">
        <item x="0"/>
        <item x="1"/>
        <item f="1" x="2"/>
        <item t="default"/>
      </items>
    </pivotField>
    <pivotField showAll="0"/>
    <pivotField axis="axisRow" showAll="0">
      <items count="10">
        <item x="3"/>
        <item x="8"/>
        <item x="4"/>
        <item x="6"/>
        <item x="7"/>
        <item x="0"/>
        <item x="2"/>
        <item x="1"/>
        <item x="5"/>
        <item t="default"/>
      </items>
    </pivotField>
    <pivotField showAll="0"/>
  </pivotFields>
  <rowFields count="1">
    <field x="1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Total Sales" fld="9" baseField="0" baseItem="0"/>
  </dataFields>
  <formats count="1">
    <format dxfId="1">
      <pivotArea collapsedLevelsAreSubtotals="1" fieldPosition="0">
        <references count="1">
          <reference field="13" count="0"/>
        </references>
      </pivotArea>
    </format>
  </formats>
  <conditionalFormats count="2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9C923-0EE5-4DAD-B71D-B7E24C623B5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M10:N13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h="1" f="1" x="2"/>
        <item t="default"/>
      </items>
    </pivotField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 Total_Sales" fld="9" baseField="0" baseItem="0"/>
  </dataFields>
  <formats count="1">
    <format dxfId="0">
      <pivotArea collapsedLevelsAreSubtotals="1" fieldPosition="0">
        <references count="1">
          <reference field="11" count="0"/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2">
              <x v="0"/>
              <x v="1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D8C16-8D3F-4903-BC58-86A6F0C9B08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ales Person ">
  <location ref="G10:H17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axis="axisRow" showAll="0">
      <items count="7">
        <item x="1"/>
        <item x="0"/>
        <item x="5"/>
        <item x="3"/>
        <item x="2"/>
        <item x="4"/>
        <item t="default"/>
      </items>
    </pivotField>
    <pivotField showAll="0"/>
    <pivotField showAll="0"/>
    <pivotField dataField="1" showAll="0"/>
    <pivotField showAll="0"/>
    <pivotField showAll="0">
      <items count="4">
        <item x="0"/>
        <item x="1"/>
        <item f="1" x="2"/>
        <item t="default"/>
      </items>
    </pivotField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 Total_Sales" fld="9" baseField="0" baseItem="0"/>
  </dataFields>
  <formats count="1">
    <format dxfId="2">
      <pivotArea collapsedLevelsAreSubtotals="1" fieldPosition="0">
        <references count="1">
          <reference field="6" count="0"/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1384DB-5D5B-406C-A675-FEF7F7115297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Unit_Pr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9B5326F-E942-4EBB-A672-7D3B56960EB1}" autoFormatId="16" applyNumberFormats="0" applyBorderFormats="0" applyFontFormats="0" applyPatternFormats="0" applyAlignmentFormats="0" applyWidthHeightFormats="0">
  <queryTableRefresh nextId="16" unboundColumnsRight="5">
    <queryTableFields count="15">
      <queryTableField id="1" name="Sale_ID" tableColumnId="1"/>
      <queryTableField id="2" name="Sale_Date" tableColumnId="2"/>
      <queryTableField id="3" name="Customer_ID" tableColumnId="3"/>
      <queryTableField id="4" name="Product_ID" tableColumnId="4"/>
      <queryTableField id="5" name="Quantity" tableColumnId="5"/>
      <queryTableField id="6" name="Unit_Price" tableColumnId="6"/>
      <queryTableField id="7" name="Salesperson" tableColumnId="7"/>
      <queryTableField id="8" name="Region" tableColumnId="8"/>
      <queryTableField id="9" name="Payment_Mode" tableColumnId="9"/>
      <queryTableField id="10" name="Total_Sales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C9A97C-FA42-41EC-94A4-FECF5BADF52F}" name="Products" displayName="Products" ref="A1:D11" tableType="queryTable" totalsRowShown="0">
  <autoFilter ref="A1:D11" xr:uid="{18C9A97C-FA42-41EC-94A4-FECF5BADF52F}"/>
  <tableColumns count="4">
    <tableColumn id="1" xr3:uid="{836199B8-D7D3-47AA-916E-F26DFBFDAEA3}" uniqueName="1" name="Product_ID" queryTableFieldId="1" dataDxfId="19"/>
    <tableColumn id="2" xr3:uid="{A4A23C6B-D9D8-41DA-8960-E7BD2108B6EB}" uniqueName="2" name="Product_Name" queryTableFieldId="2" dataDxfId="18"/>
    <tableColumn id="3" xr3:uid="{0E99B34D-41B3-4031-89F2-0C15E1F0FD24}" uniqueName="3" name="Category" queryTableFieldId="3" dataDxfId="17"/>
    <tableColumn id="4" xr3:uid="{C727039A-F8B5-4FA3-8F04-3BB83D68AB86}" uniqueName="4" name="Unit_Pri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2239B7-7B27-4F22-809F-7B598D201B86}" name="Table6" displayName="Table6" ref="A1:C16" totalsRowShown="0" headerRowDxfId="16" headerRowBorderDxfId="15" tableBorderDxfId="14">
  <autoFilter ref="A1:C16" xr:uid="{E12239B7-7B27-4F22-809F-7B598D201B86}"/>
  <tableColumns count="3">
    <tableColumn id="1" xr3:uid="{9D286AF6-D9FF-4BA8-904C-3381CE0D08FD}" name="Customer_ID"/>
    <tableColumn id="2" xr3:uid="{7E5F2BAF-10B7-451B-AEF7-1B60EB9CEACF}" name="Customer_Name"/>
    <tableColumn id="3" xr3:uid="{5EE417A6-3B84-4637-B5CD-2C770D3970D1}" name="City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5CE643-2691-4B26-9265-006EF0DA1C9F}" name="Sales_Data" displayName="Sales_Data" ref="A1:O501" tableType="queryTable" totalsRowShown="0">
  <autoFilter ref="A1:O501" xr:uid="{CB5CE643-2691-4B26-9265-006EF0DA1C9F}"/>
  <tableColumns count="15">
    <tableColumn id="1" xr3:uid="{FEC43028-762B-4C81-817D-ABDF652CE075}" uniqueName="1" name="Sale_ID" queryTableFieldId="1"/>
    <tableColumn id="2" xr3:uid="{BEBB1FCA-76E1-41CE-AFE2-29F46A9F8F3C}" uniqueName="2" name="Sale_Date" queryTableFieldId="2" dataDxfId="13"/>
    <tableColumn id="3" xr3:uid="{4EACA90A-E194-4994-B5D6-E4A1F56B89A0}" uniqueName="3" name="Customer_ID" queryTableFieldId="3" dataDxfId="12"/>
    <tableColumn id="4" xr3:uid="{4ACB4473-99D3-4F88-92E1-16EAD2A0F3DE}" uniqueName="4" name="Product_ID" queryTableFieldId="4" dataDxfId="11"/>
    <tableColumn id="5" xr3:uid="{8F49426E-FC0C-4833-AB30-6BAA8D38EB28}" uniqueName="5" name="Quantity" queryTableFieldId="5"/>
    <tableColumn id="6" xr3:uid="{6AC9243E-C9CF-47A9-A073-1E1804BDA879}" uniqueName="6" name="Unit_Price" queryTableFieldId="6"/>
    <tableColumn id="7" xr3:uid="{A40CEDA5-14F0-49C4-916B-2BEECBE22466}" uniqueName="7" name="Salesperson" queryTableFieldId="7" dataDxfId="10"/>
    <tableColumn id="8" xr3:uid="{FC35B4A4-EAE3-4F60-91D2-5C066506F32A}" uniqueName="8" name="Region" queryTableFieldId="8" dataDxfId="9"/>
    <tableColumn id="9" xr3:uid="{32FCD0BA-8AD3-4817-AAF3-169E1DD7274A}" uniqueName="9" name="Payment_Mode" queryTableFieldId="9" dataDxfId="8"/>
    <tableColumn id="10" xr3:uid="{314254AB-DBB9-4975-9413-FC790477436C}" uniqueName="10" name="Total_Sales" queryTableFieldId="10"/>
    <tableColumn id="11" xr3:uid="{C6E88C35-D5BF-4BFB-AD97-1502D5D0AA5B}" uniqueName="11" name="Product_Name" queryTableFieldId="11" dataDxfId="7">
      <calculatedColumnFormula>_xlfn.XLOOKUP(Sales_Data[[#This Row],[Product_ID]],products!A:A,products!B:B,"Not Found")</calculatedColumnFormula>
    </tableColumn>
    <tableColumn id="12" xr3:uid="{814E5561-2044-4BA9-9DC8-88BBE92531AA}" uniqueName="12" name="Category" queryTableFieldId="12" dataDxfId="6">
      <calculatedColumnFormula>_xlfn.XLOOKUP(Sales_Data[[#This Row],[Product_ID]],products!A:A,products!C:C,"Not Found")</calculatedColumnFormula>
    </tableColumn>
    <tableColumn id="13" xr3:uid="{9B81AB39-A8A6-4C26-9BDE-DC47292BBFC0}" uniqueName="13" name="Customer_Name" queryTableFieldId="13" dataDxfId="5">
      <calculatedColumnFormula>_xlfn.XLOOKUP(C2,customers!A:A,customers!B:B,"Not Found")</calculatedColumnFormula>
    </tableColumn>
    <tableColumn id="14" xr3:uid="{725B3CF9-46C0-4159-8CDA-BE3973DFBBA6}" uniqueName="14" name="City" queryTableFieldId="14" dataDxfId="4">
      <calculatedColumnFormula>_xlfn.XLOOKUP(C1,customers!A:A,customers!C:C,"Not Found")</calculatedColumnFormula>
    </tableColumn>
    <tableColumn id="15" xr3:uid="{0AADF06B-5C38-4649-B188-769BD9F89753}" uniqueName="15" name="Sales_Category" queryTableFieldId="15" dataDxfId="3">
      <calculatedColumnFormula>IF(Sales_Data[[#This Row],[Total_Sales]]&gt;=50000,"High","Low")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F068-3F7B-4EDC-B282-B675008CD559}">
  <dimension ref="A1:D11"/>
  <sheetViews>
    <sheetView workbookViewId="0">
      <selection activeCell="K11" sqref="K11"/>
    </sheetView>
  </sheetViews>
  <sheetFormatPr defaultRowHeight="14.4" x14ac:dyDescent="0.3"/>
  <cols>
    <col min="1" max="1" width="12.33203125" bestFit="1" customWidth="1"/>
    <col min="2" max="2" width="15.6640625" bestFit="1" customWidth="1"/>
    <col min="3" max="3" width="10.88671875" bestFit="1" customWidth="1"/>
    <col min="4" max="4" width="11.77734375" bestFit="1" customWidth="1"/>
  </cols>
  <sheetData>
    <row r="1" spans="1:4" x14ac:dyDescent="0.3">
      <c r="A1" t="s">
        <v>42</v>
      </c>
      <c r="B1" t="s">
        <v>43</v>
      </c>
      <c r="C1" t="s">
        <v>44</v>
      </c>
      <c r="D1" t="s">
        <v>45</v>
      </c>
    </row>
    <row r="2" spans="1:4" x14ac:dyDescent="0.3">
      <c r="A2" t="s">
        <v>46</v>
      </c>
      <c r="B2" t="s">
        <v>47</v>
      </c>
      <c r="C2" t="s">
        <v>48</v>
      </c>
      <c r="D2">
        <v>55000</v>
      </c>
    </row>
    <row r="3" spans="1:4" x14ac:dyDescent="0.3">
      <c r="A3" t="s">
        <v>49</v>
      </c>
      <c r="B3" t="s">
        <v>50</v>
      </c>
      <c r="C3" t="s">
        <v>51</v>
      </c>
      <c r="D3">
        <v>2500</v>
      </c>
    </row>
    <row r="4" spans="1:4" x14ac:dyDescent="0.3">
      <c r="A4" t="s">
        <v>52</v>
      </c>
      <c r="B4" t="s">
        <v>53</v>
      </c>
      <c r="C4" t="s">
        <v>51</v>
      </c>
      <c r="D4">
        <v>800</v>
      </c>
    </row>
    <row r="5" spans="1:4" x14ac:dyDescent="0.3">
      <c r="A5" t="s">
        <v>54</v>
      </c>
      <c r="B5" t="s">
        <v>55</v>
      </c>
      <c r="C5" t="s">
        <v>48</v>
      </c>
      <c r="D5">
        <v>15000</v>
      </c>
    </row>
    <row r="6" spans="1:4" x14ac:dyDescent="0.3">
      <c r="A6" t="s">
        <v>56</v>
      </c>
      <c r="B6" t="s">
        <v>57</v>
      </c>
      <c r="C6" t="s">
        <v>51</v>
      </c>
      <c r="D6">
        <v>3500</v>
      </c>
    </row>
    <row r="7" spans="1:4" x14ac:dyDescent="0.3">
      <c r="A7" t="s">
        <v>58</v>
      </c>
      <c r="B7" t="s">
        <v>59</v>
      </c>
      <c r="C7" t="s">
        <v>48</v>
      </c>
      <c r="D7">
        <v>12000</v>
      </c>
    </row>
    <row r="8" spans="1:4" x14ac:dyDescent="0.3">
      <c r="A8" t="s">
        <v>60</v>
      </c>
      <c r="B8" t="s">
        <v>61</v>
      </c>
      <c r="C8" t="s">
        <v>48</v>
      </c>
      <c r="D8">
        <v>22000</v>
      </c>
    </row>
    <row r="9" spans="1:4" x14ac:dyDescent="0.3">
      <c r="A9" t="s">
        <v>62</v>
      </c>
      <c r="B9" t="s">
        <v>63</v>
      </c>
      <c r="C9" t="s">
        <v>51</v>
      </c>
      <c r="D9">
        <v>3000</v>
      </c>
    </row>
    <row r="10" spans="1:4" x14ac:dyDescent="0.3">
      <c r="A10" t="s">
        <v>64</v>
      </c>
      <c r="B10" t="s">
        <v>65</v>
      </c>
      <c r="C10" t="s">
        <v>51</v>
      </c>
      <c r="D10">
        <v>900</v>
      </c>
    </row>
    <row r="11" spans="1:4" x14ac:dyDescent="0.3">
      <c r="A11" t="s">
        <v>66</v>
      </c>
      <c r="B11" t="s">
        <v>67</v>
      </c>
      <c r="C11" t="s">
        <v>48</v>
      </c>
      <c r="D11">
        <v>30000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2F2E-8958-48E8-A3FA-4E813454E3F0}">
  <dimension ref="A1:C16"/>
  <sheetViews>
    <sheetView workbookViewId="0">
      <selection activeCell="Q15" sqref="Q15"/>
    </sheetView>
  </sheetViews>
  <sheetFormatPr defaultRowHeight="14.4" x14ac:dyDescent="0.3"/>
  <cols>
    <col min="1" max="1" width="16.33203125" bestFit="1" customWidth="1"/>
    <col min="2" max="2" width="19.6640625" bestFit="1" customWidth="1"/>
    <col min="3" max="3" width="10.664062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5</v>
      </c>
    </row>
    <row r="12" spans="1:3" x14ac:dyDescent="0.3">
      <c r="A12" t="s">
        <v>32</v>
      </c>
      <c r="B12" t="s">
        <v>33</v>
      </c>
      <c r="C12" t="s">
        <v>8</v>
      </c>
    </row>
    <row r="13" spans="1:3" x14ac:dyDescent="0.3">
      <c r="A13" t="s">
        <v>34</v>
      </c>
      <c r="B13" t="s">
        <v>35</v>
      </c>
      <c r="C13" t="s">
        <v>11</v>
      </c>
    </row>
    <row r="14" spans="1:3" x14ac:dyDescent="0.3">
      <c r="A14" t="s">
        <v>36</v>
      </c>
      <c r="B14" t="s">
        <v>37</v>
      </c>
      <c r="C14" t="s">
        <v>14</v>
      </c>
    </row>
    <row r="15" spans="1:3" x14ac:dyDescent="0.3">
      <c r="A15" t="s">
        <v>38</v>
      </c>
      <c r="B15" t="s">
        <v>39</v>
      </c>
      <c r="C15" t="s">
        <v>20</v>
      </c>
    </row>
    <row r="16" spans="1:3" x14ac:dyDescent="0.3">
      <c r="A16" t="s">
        <v>40</v>
      </c>
      <c r="B16" t="s">
        <v>41</v>
      </c>
      <c r="C16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8345-8A29-440F-843B-D1A982CC3AD9}">
  <dimension ref="A1:O501"/>
  <sheetViews>
    <sheetView topLeftCell="J1" workbookViewId="0">
      <selection activeCell="M117" sqref="M117"/>
    </sheetView>
  </sheetViews>
  <sheetFormatPr defaultRowHeight="14.4" x14ac:dyDescent="0.3"/>
  <cols>
    <col min="1" max="1" width="9.44140625" bestFit="1" customWidth="1"/>
    <col min="2" max="2" width="11.5546875" style="4" bestFit="1" customWidth="1"/>
    <col min="3" max="3" width="13.88671875" bestFit="1" customWidth="1"/>
    <col min="4" max="4" width="12.33203125" bestFit="1" customWidth="1"/>
    <col min="5" max="5" width="10.33203125" bestFit="1" customWidth="1"/>
    <col min="6" max="6" width="11.77734375" bestFit="1" customWidth="1"/>
    <col min="7" max="7" width="13.44140625" bestFit="1" customWidth="1"/>
    <col min="8" max="8" width="8.77734375" bestFit="1" customWidth="1"/>
    <col min="9" max="9" width="16" bestFit="1" customWidth="1"/>
    <col min="10" max="10" width="12.6640625" bestFit="1" customWidth="1"/>
    <col min="11" max="11" width="15.6640625" bestFit="1" customWidth="1"/>
    <col min="12" max="12" width="10.5546875" bestFit="1" customWidth="1"/>
    <col min="13" max="13" width="17.21875" bestFit="1" customWidth="1"/>
    <col min="15" max="15" width="16" bestFit="1" customWidth="1"/>
  </cols>
  <sheetData>
    <row r="1" spans="1:15" x14ac:dyDescent="0.3">
      <c r="A1" t="s">
        <v>68</v>
      </c>
      <c r="B1" s="4" t="s">
        <v>69</v>
      </c>
      <c r="C1" t="s">
        <v>0</v>
      </c>
      <c r="D1" t="s">
        <v>42</v>
      </c>
      <c r="E1" t="s">
        <v>70</v>
      </c>
      <c r="F1" t="s">
        <v>45</v>
      </c>
      <c r="G1" t="s">
        <v>71</v>
      </c>
      <c r="H1" t="s">
        <v>72</v>
      </c>
      <c r="I1" t="s">
        <v>73</v>
      </c>
      <c r="J1" t="s">
        <v>74</v>
      </c>
      <c r="K1" t="s">
        <v>43</v>
      </c>
      <c r="L1" t="s">
        <v>44</v>
      </c>
      <c r="M1" t="s">
        <v>1</v>
      </c>
      <c r="N1" t="s">
        <v>2</v>
      </c>
      <c r="O1" t="s">
        <v>90</v>
      </c>
    </row>
    <row r="2" spans="1:15" x14ac:dyDescent="0.3">
      <c r="A2">
        <v>1001</v>
      </c>
      <c r="B2" s="4">
        <v>46093</v>
      </c>
      <c r="C2" t="s">
        <v>3</v>
      </c>
      <c r="D2" t="s">
        <v>49</v>
      </c>
      <c r="E2">
        <v>4</v>
      </c>
      <c r="F2">
        <v>2500</v>
      </c>
      <c r="G2" t="s">
        <v>75</v>
      </c>
      <c r="H2" t="s">
        <v>76</v>
      </c>
      <c r="I2" t="s">
        <v>77</v>
      </c>
      <c r="J2">
        <v>10000</v>
      </c>
      <c r="K2" t="str">
        <f>_xlfn.XLOOKUP(Sales_Data[[#This Row],[Product_ID]],products!A:A,products!B:B,"Not Found")</f>
        <v>Keyboard</v>
      </c>
      <c r="L2" t="str">
        <f>_xlfn.XLOOKUP(Sales_Data[[#This Row],[Product_ID]],products!A:A,products!C:C,"Not Found")</f>
        <v>Accessories</v>
      </c>
      <c r="M2" t="str">
        <f>_xlfn.XLOOKUP(C2,customers!A:A,customers!B:B,"Not Found")</f>
        <v>Rahul Sharma</v>
      </c>
      <c r="N2" t="str">
        <f>_xlfn.XLOOKUP(C1,customers!A:A,customers!C:C,"Not Found")</f>
        <v>City</v>
      </c>
      <c r="O2" t="str">
        <f>IF(Sales_Data[[#This Row],[Total_Sales]]&gt;=50000,"High","Low")</f>
        <v>Low</v>
      </c>
    </row>
    <row r="3" spans="1:15" x14ac:dyDescent="0.3">
      <c r="A3">
        <v>1002</v>
      </c>
      <c r="B3" s="4">
        <v>46174</v>
      </c>
      <c r="C3" t="s">
        <v>6</v>
      </c>
      <c r="D3" t="s">
        <v>64</v>
      </c>
      <c r="E3">
        <v>7</v>
      </c>
      <c r="F3">
        <v>900</v>
      </c>
      <c r="G3" t="s">
        <v>78</v>
      </c>
      <c r="H3" t="s">
        <v>79</v>
      </c>
      <c r="I3" t="s">
        <v>77</v>
      </c>
      <c r="J3">
        <v>6300</v>
      </c>
      <c r="K3" t="str">
        <f>_xlfn.XLOOKUP(Sales_Data[[#This Row],[Product_ID]],products!A:A,products!B:B,"Not Found")</f>
        <v>USB Drive</v>
      </c>
      <c r="L3" t="str">
        <f>_xlfn.XLOOKUP(Sales_Data[[#This Row],[Product_ID]],products!A:A,products!C:C,"Not Found")</f>
        <v>Accessories</v>
      </c>
      <c r="M3" t="str">
        <f>_xlfn.XLOOKUP(C3,customers!A:A,customers!B:B,"Not Found")</f>
        <v>Priya Patil</v>
      </c>
      <c r="N3" t="str">
        <f>_xlfn.XLOOKUP(C2,customers!A:A,customers!C:C,"Not Found")</f>
        <v>Nagpur</v>
      </c>
      <c r="O3" t="str">
        <f>IF(Sales_Data[[#This Row],[Total_Sales]]&gt;=50000,"High","Low")</f>
        <v>Low</v>
      </c>
    </row>
    <row r="4" spans="1:15" x14ac:dyDescent="0.3">
      <c r="A4">
        <v>1003</v>
      </c>
      <c r="B4" s="4">
        <v>46152</v>
      </c>
      <c r="C4" t="s">
        <v>12</v>
      </c>
      <c r="D4" t="s">
        <v>54</v>
      </c>
      <c r="E4">
        <v>1</v>
      </c>
      <c r="F4">
        <v>15000</v>
      </c>
      <c r="G4" t="s">
        <v>80</v>
      </c>
      <c r="H4" t="s">
        <v>76</v>
      </c>
      <c r="I4" t="s">
        <v>81</v>
      </c>
      <c r="J4">
        <v>15000</v>
      </c>
      <c r="K4" t="str">
        <f>_xlfn.XLOOKUP(Sales_Data[[#This Row],[Product_ID]],products!A:A,products!B:B,"Not Found")</f>
        <v>Monitor</v>
      </c>
      <c r="L4" t="str">
        <f>_xlfn.XLOOKUP(Sales_Data[[#This Row],[Product_ID]],products!A:A,products!C:C,"Not Found")</f>
        <v>Electronics</v>
      </c>
      <c r="M4" t="str">
        <f>_xlfn.XLOOKUP(C4,customers!A:A,customers!B:B,"Not Found")</f>
        <v>Sneha Joshi</v>
      </c>
      <c r="N4" t="str">
        <f>_xlfn.XLOOKUP(C3,customers!A:A,customers!C:C,"Not Found")</f>
        <v>Pune</v>
      </c>
      <c r="O4" t="str">
        <f>IF(Sales_Data[[#This Row],[Total_Sales]]&gt;=50000,"High","Low")</f>
        <v>Low</v>
      </c>
    </row>
    <row r="5" spans="1:15" x14ac:dyDescent="0.3">
      <c r="A5">
        <v>1004</v>
      </c>
      <c r="B5" s="4">
        <v>46173</v>
      </c>
      <c r="C5" t="s">
        <v>24</v>
      </c>
      <c r="D5" t="s">
        <v>54</v>
      </c>
      <c r="E5">
        <v>5</v>
      </c>
      <c r="F5">
        <v>15000</v>
      </c>
      <c r="G5" t="s">
        <v>78</v>
      </c>
      <c r="H5" t="s">
        <v>76</v>
      </c>
      <c r="I5" t="s">
        <v>81</v>
      </c>
      <c r="J5">
        <v>75000</v>
      </c>
      <c r="K5" t="str">
        <f>_xlfn.XLOOKUP(Sales_Data[[#This Row],[Product_ID]],products!A:A,products!B:B,"Not Found")</f>
        <v>Monitor</v>
      </c>
      <c r="L5" t="str">
        <f>_xlfn.XLOOKUP(Sales_Data[[#This Row],[Product_ID]],products!A:A,products!C:C,"Not Found")</f>
        <v>Electronics</v>
      </c>
      <c r="M5" t="str">
        <f>_xlfn.XLOOKUP(C5,customers!A:A,customers!B:B,"Not Found")</f>
        <v>Pooja Deshmukh</v>
      </c>
      <c r="N5" t="str">
        <f>_xlfn.XLOOKUP(C4,customers!A:A,customers!C:C,"Not Found")</f>
        <v>Nashik</v>
      </c>
      <c r="O5" t="str">
        <f>IF(Sales_Data[[#This Row],[Total_Sales]]&gt;=50000,"High","Low")</f>
        <v>High</v>
      </c>
    </row>
    <row r="6" spans="1:15" x14ac:dyDescent="0.3">
      <c r="A6">
        <v>1005</v>
      </c>
      <c r="B6" s="4">
        <v>46062</v>
      </c>
      <c r="C6" t="s">
        <v>15</v>
      </c>
      <c r="D6" t="s">
        <v>58</v>
      </c>
      <c r="E6">
        <v>4</v>
      </c>
      <c r="F6">
        <v>12000</v>
      </c>
      <c r="G6" t="s">
        <v>82</v>
      </c>
      <c r="H6" t="s">
        <v>79</v>
      </c>
      <c r="I6" t="s">
        <v>77</v>
      </c>
      <c r="J6">
        <v>48000</v>
      </c>
      <c r="K6" t="str">
        <f>_xlfn.XLOOKUP(Sales_Data[[#This Row],[Product_ID]],products!A:A,products!B:B,"Not Found")</f>
        <v>Printer</v>
      </c>
      <c r="L6" t="str">
        <f>_xlfn.XLOOKUP(Sales_Data[[#This Row],[Product_ID]],products!A:A,products!C:C,"Not Found")</f>
        <v>Electronics</v>
      </c>
      <c r="M6" t="str">
        <f>_xlfn.XLOOKUP(C6,customers!A:A,customers!B:B,"Not Found")</f>
        <v>Rohit Singh</v>
      </c>
      <c r="N6" t="str">
        <f>_xlfn.XLOOKUP(C5,customers!A:A,customers!C:C,"Not Found")</f>
        <v>Aurangabad</v>
      </c>
      <c r="O6" t="str">
        <f>IF(Sales_Data[[#This Row],[Total_Sales]]&gt;=50000,"High","Low")</f>
        <v>Low</v>
      </c>
    </row>
    <row r="7" spans="1:15" x14ac:dyDescent="0.3">
      <c r="A7">
        <v>1006</v>
      </c>
      <c r="B7" s="4">
        <v>46114</v>
      </c>
      <c r="C7" t="s">
        <v>6</v>
      </c>
      <c r="D7" t="s">
        <v>60</v>
      </c>
      <c r="E7">
        <v>6</v>
      </c>
      <c r="F7">
        <v>22000</v>
      </c>
      <c r="G7" t="s">
        <v>80</v>
      </c>
      <c r="H7" t="s">
        <v>83</v>
      </c>
      <c r="I7" t="s">
        <v>77</v>
      </c>
      <c r="J7">
        <v>132000</v>
      </c>
      <c r="K7" t="str">
        <f>_xlfn.XLOOKUP(Sales_Data[[#This Row],[Product_ID]],products!A:A,products!B:B,"Not Found")</f>
        <v>Tablet</v>
      </c>
      <c r="L7" t="str">
        <f>_xlfn.XLOOKUP(Sales_Data[[#This Row],[Product_ID]],products!A:A,products!C:C,"Not Found")</f>
        <v>Electronics</v>
      </c>
      <c r="M7" t="str">
        <f>_xlfn.XLOOKUP(C7,customers!A:A,customers!B:B,"Not Found")</f>
        <v>Priya Patil</v>
      </c>
      <c r="N7" t="str">
        <f>_xlfn.XLOOKUP(C6,customers!A:A,customers!C:C,"Not Found")</f>
        <v>Delhi</v>
      </c>
      <c r="O7" t="str">
        <f>IF(Sales_Data[[#This Row],[Total_Sales]]&gt;=50000,"High","Low")</f>
        <v>High</v>
      </c>
    </row>
    <row r="8" spans="1:15" x14ac:dyDescent="0.3">
      <c r="A8">
        <v>1007</v>
      </c>
      <c r="B8" s="4">
        <v>46054</v>
      </c>
      <c r="C8" t="s">
        <v>27</v>
      </c>
      <c r="D8" t="s">
        <v>62</v>
      </c>
      <c r="E8">
        <v>7</v>
      </c>
      <c r="F8">
        <v>3000</v>
      </c>
      <c r="G8" t="s">
        <v>78</v>
      </c>
      <c r="H8" t="s">
        <v>84</v>
      </c>
      <c r="I8" t="s">
        <v>85</v>
      </c>
      <c r="J8">
        <v>21000</v>
      </c>
      <c r="K8" t="str">
        <f>_xlfn.XLOOKUP(Sales_Data[[#This Row],[Product_ID]],products!A:A,products!B:B,"Not Found")</f>
        <v>Webcam</v>
      </c>
      <c r="L8" t="str">
        <f>_xlfn.XLOOKUP(Sales_Data[[#This Row],[Product_ID]],products!A:A,products!C:C,"Not Found")</f>
        <v>Accessories</v>
      </c>
      <c r="M8" t="str">
        <f>_xlfn.XLOOKUP(C8,customers!A:A,customers!B:B,"Not Found")</f>
        <v>Vikas Yadav</v>
      </c>
      <c r="N8" t="str">
        <f>_xlfn.XLOOKUP(C7,customers!A:A,customers!C:C,"Not Found")</f>
        <v>Pune</v>
      </c>
      <c r="O8" t="str">
        <f>IF(Sales_Data[[#This Row],[Total_Sales]]&gt;=50000,"High","Low")</f>
        <v>Low</v>
      </c>
    </row>
    <row r="9" spans="1:15" x14ac:dyDescent="0.3">
      <c r="A9">
        <v>1008</v>
      </c>
      <c r="B9" s="4">
        <v>46115</v>
      </c>
      <c r="C9" t="s">
        <v>40</v>
      </c>
      <c r="D9" t="s">
        <v>66</v>
      </c>
      <c r="E9">
        <v>4</v>
      </c>
      <c r="F9">
        <v>30000</v>
      </c>
      <c r="G9" t="s">
        <v>86</v>
      </c>
      <c r="H9" t="s">
        <v>79</v>
      </c>
      <c r="I9" t="s">
        <v>77</v>
      </c>
      <c r="J9">
        <v>120000</v>
      </c>
      <c r="K9" t="str">
        <f>_xlfn.XLOOKUP(Sales_Data[[#This Row],[Product_ID]],products!A:A,products!B:B,"Not Found")</f>
        <v>Smartphone</v>
      </c>
      <c r="L9" t="str">
        <f>_xlfn.XLOOKUP(Sales_Data[[#This Row],[Product_ID]],products!A:A,products!C:C,"Not Found")</f>
        <v>Electronics</v>
      </c>
      <c r="M9" t="str">
        <f>_xlfn.XLOOKUP(C9,customers!A:A,customers!B:B,"Not Found")</f>
        <v>Nitin More</v>
      </c>
      <c r="N9" t="str">
        <f>_xlfn.XLOOKUP(C8,customers!A:A,customers!C:C,"Not Found")</f>
        <v>Thane</v>
      </c>
      <c r="O9" t="str">
        <f>IF(Sales_Data[[#This Row],[Total_Sales]]&gt;=50000,"High","Low")</f>
        <v>High</v>
      </c>
    </row>
    <row r="10" spans="1:15" x14ac:dyDescent="0.3">
      <c r="A10">
        <v>1009</v>
      </c>
      <c r="B10" s="4">
        <v>46097</v>
      </c>
      <c r="C10" t="s">
        <v>36</v>
      </c>
      <c r="D10" t="s">
        <v>54</v>
      </c>
      <c r="E10">
        <v>2</v>
      </c>
      <c r="F10">
        <v>15000</v>
      </c>
      <c r="G10" t="s">
        <v>75</v>
      </c>
      <c r="H10" t="s">
        <v>79</v>
      </c>
      <c r="I10" t="s">
        <v>81</v>
      </c>
      <c r="J10">
        <v>30000</v>
      </c>
      <c r="K10" t="str">
        <f>_xlfn.XLOOKUP(Sales_Data[[#This Row],[Product_ID]],products!A:A,products!B:B,"Not Found")</f>
        <v>Monitor</v>
      </c>
      <c r="L10" t="str">
        <f>_xlfn.XLOOKUP(Sales_Data[[#This Row],[Product_ID]],products!A:A,products!C:C,"Not Found")</f>
        <v>Electronics</v>
      </c>
      <c r="M10" t="str">
        <f>_xlfn.XLOOKUP(C10,customers!A:A,customers!B:B,"Not Found")</f>
        <v>Akash Jain</v>
      </c>
      <c r="N10" t="str">
        <f>_xlfn.XLOOKUP(C9,customers!A:A,customers!C:C,"Not Found")</f>
        <v>Nagpur</v>
      </c>
      <c r="O10" t="str">
        <f>IF(Sales_Data[[#This Row],[Total_Sales]]&gt;=50000,"High","Low")</f>
        <v>Low</v>
      </c>
    </row>
    <row r="11" spans="1:15" x14ac:dyDescent="0.3">
      <c r="A11">
        <v>1010</v>
      </c>
      <c r="B11" s="4">
        <v>46185</v>
      </c>
      <c r="C11" t="s">
        <v>24</v>
      </c>
      <c r="D11" t="s">
        <v>56</v>
      </c>
      <c r="E11">
        <v>6</v>
      </c>
      <c r="F11">
        <v>3500</v>
      </c>
      <c r="G11" t="s">
        <v>75</v>
      </c>
      <c r="H11" t="s">
        <v>83</v>
      </c>
      <c r="I11" t="s">
        <v>85</v>
      </c>
      <c r="J11">
        <v>21000</v>
      </c>
      <c r="K11" t="str">
        <f>_xlfn.XLOOKUP(Sales_Data[[#This Row],[Product_ID]],products!A:A,products!B:B,"Not Found")</f>
        <v>Headphones</v>
      </c>
      <c r="L11" t="str">
        <f>_xlfn.XLOOKUP(Sales_Data[[#This Row],[Product_ID]],products!A:A,products!C:C,"Not Found")</f>
        <v>Accessories</v>
      </c>
      <c r="M11" t="str">
        <f>_xlfn.XLOOKUP(C11,customers!A:A,customers!B:B,"Not Found")</f>
        <v>Pooja Deshmukh</v>
      </c>
      <c r="N11" t="str">
        <f>_xlfn.XLOOKUP(C10,customers!A:A,customers!C:C,"Not Found")</f>
        <v>Nashik</v>
      </c>
      <c r="O11" t="str">
        <f>IF(Sales_Data[[#This Row],[Total_Sales]]&gt;=50000,"High","Low")</f>
        <v>Low</v>
      </c>
    </row>
    <row r="12" spans="1:15" x14ac:dyDescent="0.3">
      <c r="A12">
        <v>1011</v>
      </c>
      <c r="B12" s="4">
        <v>46091</v>
      </c>
      <c r="C12" t="s">
        <v>32</v>
      </c>
      <c r="D12" t="s">
        <v>54</v>
      </c>
      <c r="E12">
        <v>2</v>
      </c>
      <c r="F12">
        <v>15000</v>
      </c>
      <c r="G12" t="s">
        <v>80</v>
      </c>
      <c r="H12" t="s">
        <v>76</v>
      </c>
      <c r="I12" t="s">
        <v>87</v>
      </c>
      <c r="J12">
        <v>30000</v>
      </c>
      <c r="K12" t="str">
        <f>_xlfn.XLOOKUP(Sales_Data[[#This Row],[Product_ID]],products!A:A,products!B:B,"Not Found")</f>
        <v>Monitor</v>
      </c>
      <c r="L12" t="str">
        <f>_xlfn.XLOOKUP(Sales_Data[[#This Row],[Product_ID]],products!A:A,products!C:C,"Not Found")</f>
        <v>Electronics</v>
      </c>
      <c r="M12" t="str">
        <f>_xlfn.XLOOKUP(C12,customers!A:A,customers!B:B,"Not Found")</f>
        <v>Sahil Khan</v>
      </c>
      <c r="N12" t="str">
        <f>_xlfn.XLOOKUP(C11,customers!A:A,customers!C:C,"Not Found")</f>
        <v>Aurangabad</v>
      </c>
      <c r="O12" t="str">
        <f>IF(Sales_Data[[#This Row],[Total_Sales]]&gt;=50000,"High","Low")</f>
        <v>Low</v>
      </c>
    </row>
    <row r="13" spans="1:15" x14ac:dyDescent="0.3">
      <c r="A13">
        <v>1012</v>
      </c>
      <c r="B13" s="4">
        <v>46120</v>
      </c>
      <c r="C13" t="s">
        <v>24</v>
      </c>
      <c r="D13" t="s">
        <v>52</v>
      </c>
      <c r="E13">
        <v>5</v>
      </c>
      <c r="F13">
        <v>800</v>
      </c>
      <c r="G13" t="s">
        <v>86</v>
      </c>
      <c r="H13" t="s">
        <v>84</v>
      </c>
      <c r="I13" t="s">
        <v>87</v>
      </c>
      <c r="J13">
        <v>4000</v>
      </c>
      <c r="K13" t="str">
        <f>_xlfn.XLOOKUP(Sales_Data[[#This Row],[Product_ID]],products!A:A,products!B:B,"Not Found")</f>
        <v>Mouse</v>
      </c>
      <c r="L13" t="str">
        <f>_xlfn.XLOOKUP(Sales_Data[[#This Row],[Product_ID]],products!A:A,products!C:C,"Not Found")</f>
        <v>Accessories</v>
      </c>
      <c r="M13" t="str">
        <f>_xlfn.XLOOKUP(C13,customers!A:A,customers!B:B,"Not Found")</f>
        <v>Pooja Deshmukh</v>
      </c>
      <c r="N13" t="str">
        <f>_xlfn.XLOOKUP(C12,customers!A:A,customers!C:C,"Not Found")</f>
        <v>Pune</v>
      </c>
      <c r="O13" t="str">
        <f>IF(Sales_Data[[#This Row],[Total_Sales]]&gt;=50000,"High","Low")</f>
        <v>Low</v>
      </c>
    </row>
    <row r="14" spans="1:15" x14ac:dyDescent="0.3">
      <c r="A14">
        <v>1013</v>
      </c>
      <c r="B14" s="4">
        <v>46037</v>
      </c>
      <c r="C14" t="s">
        <v>38</v>
      </c>
      <c r="D14" t="s">
        <v>58</v>
      </c>
      <c r="E14">
        <v>4</v>
      </c>
      <c r="F14">
        <v>12000</v>
      </c>
      <c r="G14" t="s">
        <v>78</v>
      </c>
      <c r="H14" t="s">
        <v>83</v>
      </c>
      <c r="I14" t="s">
        <v>81</v>
      </c>
      <c r="J14">
        <v>48000</v>
      </c>
      <c r="K14" t="str">
        <f>_xlfn.XLOOKUP(Sales_Data[[#This Row],[Product_ID]],products!A:A,products!B:B,"Not Found")</f>
        <v>Printer</v>
      </c>
      <c r="L14" t="str">
        <f>_xlfn.XLOOKUP(Sales_Data[[#This Row],[Product_ID]],products!A:A,products!C:C,"Not Found")</f>
        <v>Electronics</v>
      </c>
      <c r="M14" t="str">
        <f>_xlfn.XLOOKUP(C14,customers!A:A,customers!B:B,"Not Found")</f>
        <v>Komal Pawar</v>
      </c>
      <c r="N14" t="str">
        <f>_xlfn.XLOOKUP(C13,customers!A:A,customers!C:C,"Not Found")</f>
        <v>Aurangabad</v>
      </c>
      <c r="O14" t="str">
        <f>IF(Sales_Data[[#This Row],[Total_Sales]]&gt;=50000,"High","Low")</f>
        <v>Low</v>
      </c>
    </row>
    <row r="15" spans="1:15" x14ac:dyDescent="0.3">
      <c r="A15">
        <v>1014</v>
      </c>
      <c r="B15" s="4">
        <v>46077</v>
      </c>
      <c r="C15" t="s">
        <v>6</v>
      </c>
      <c r="D15" t="s">
        <v>56</v>
      </c>
      <c r="E15">
        <v>6</v>
      </c>
      <c r="F15">
        <v>3500</v>
      </c>
      <c r="G15" t="s">
        <v>75</v>
      </c>
      <c r="H15" t="s">
        <v>88</v>
      </c>
      <c r="I15" t="s">
        <v>81</v>
      </c>
      <c r="J15">
        <v>21000</v>
      </c>
      <c r="K15" t="str">
        <f>_xlfn.XLOOKUP(Sales_Data[[#This Row],[Product_ID]],products!A:A,products!B:B,"Not Found")</f>
        <v>Headphones</v>
      </c>
      <c r="L15" t="str">
        <f>_xlfn.XLOOKUP(Sales_Data[[#This Row],[Product_ID]],products!A:A,products!C:C,"Not Found")</f>
        <v>Accessories</v>
      </c>
      <c r="M15" t="str">
        <f>_xlfn.XLOOKUP(C15,customers!A:A,customers!B:B,"Not Found")</f>
        <v>Priya Patil</v>
      </c>
      <c r="N15" t="str">
        <f>_xlfn.XLOOKUP(C14,customers!A:A,customers!C:C,"Not Found")</f>
        <v>Indore</v>
      </c>
      <c r="O15" t="str">
        <f>IF(Sales_Data[[#This Row],[Total_Sales]]&gt;=50000,"High","Low")</f>
        <v>Low</v>
      </c>
    </row>
    <row r="16" spans="1:15" x14ac:dyDescent="0.3">
      <c r="A16">
        <v>1015</v>
      </c>
      <c r="B16" s="4">
        <v>46090</v>
      </c>
      <c r="C16" t="s">
        <v>9</v>
      </c>
      <c r="D16" t="s">
        <v>62</v>
      </c>
      <c r="E16">
        <v>3</v>
      </c>
      <c r="F16">
        <v>3000</v>
      </c>
      <c r="G16" t="s">
        <v>75</v>
      </c>
      <c r="H16" t="s">
        <v>84</v>
      </c>
      <c r="I16" t="s">
        <v>85</v>
      </c>
      <c r="J16">
        <v>9000</v>
      </c>
      <c r="K16" t="str">
        <f>_xlfn.XLOOKUP(Sales_Data[[#This Row],[Product_ID]],products!A:A,products!B:B,"Not Found")</f>
        <v>Webcam</v>
      </c>
      <c r="L16" t="str">
        <f>_xlfn.XLOOKUP(Sales_Data[[#This Row],[Product_ID]],products!A:A,products!C:C,"Not Found")</f>
        <v>Accessories</v>
      </c>
      <c r="M16" t="str">
        <f>_xlfn.XLOOKUP(C16,customers!A:A,customers!B:B,"Not Found")</f>
        <v>Amit Verma</v>
      </c>
      <c r="N16" t="str">
        <f>_xlfn.XLOOKUP(C15,customers!A:A,customers!C:C,"Not Found")</f>
        <v>Pune</v>
      </c>
      <c r="O16" t="str">
        <f>IF(Sales_Data[[#This Row],[Total_Sales]]&gt;=50000,"High","Low")</f>
        <v>Low</v>
      </c>
    </row>
    <row r="17" spans="1:15" x14ac:dyDescent="0.3">
      <c r="A17">
        <v>1016</v>
      </c>
      <c r="B17" s="4">
        <v>46172</v>
      </c>
      <c r="C17" t="s">
        <v>21</v>
      </c>
      <c r="D17" t="s">
        <v>66</v>
      </c>
      <c r="E17">
        <v>7</v>
      </c>
      <c r="F17">
        <v>30000</v>
      </c>
      <c r="G17" t="s">
        <v>82</v>
      </c>
      <c r="H17" t="s">
        <v>76</v>
      </c>
      <c r="I17" t="s">
        <v>87</v>
      </c>
      <c r="J17">
        <v>210000</v>
      </c>
      <c r="K17" t="str">
        <f>_xlfn.XLOOKUP(Sales_Data[[#This Row],[Product_ID]],products!A:A,products!B:B,"Not Found")</f>
        <v>Smartphone</v>
      </c>
      <c r="L17" t="str">
        <f>_xlfn.XLOOKUP(Sales_Data[[#This Row],[Product_ID]],products!A:A,products!C:C,"Not Found")</f>
        <v>Electronics</v>
      </c>
      <c r="M17" t="str">
        <f>_xlfn.XLOOKUP(C17,customers!A:A,customers!B:B,"Not Found")</f>
        <v>Karan Mehta</v>
      </c>
      <c r="N17" t="str">
        <f>_xlfn.XLOOKUP(C16,customers!A:A,customers!C:C,"Not Found")</f>
        <v>Mumbai</v>
      </c>
      <c r="O17" t="str">
        <f>IF(Sales_Data[[#This Row],[Total_Sales]]&gt;=50000,"High","Low")</f>
        <v>High</v>
      </c>
    </row>
    <row r="18" spans="1:15" x14ac:dyDescent="0.3">
      <c r="A18">
        <v>1017</v>
      </c>
      <c r="B18" s="4">
        <v>46046</v>
      </c>
      <c r="C18" t="s">
        <v>24</v>
      </c>
      <c r="D18" t="s">
        <v>64</v>
      </c>
      <c r="E18">
        <v>1</v>
      </c>
      <c r="F18">
        <v>900</v>
      </c>
      <c r="G18" t="s">
        <v>78</v>
      </c>
      <c r="H18" t="s">
        <v>76</v>
      </c>
      <c r="I18" t="s">
        <v>87</v>
      </c>
      <c r="J18">
        <v>900</v>
      </c>
      <c r="K18" t="str">
        <f>_xlfn.XLOOKUP(Sales_Data[[#This Row],[Product_ID]],products!A:A,products!B:B,"Not Found")</f>
        <v>USB Drive</v>
      </c>
      <c r="L18" t="str">
        <f>_xlfn.XLOOKUP(Sales_Data[[#This Row],[Product_ID]],products!A:A,products!C:C,"Not Found")</f>
        <v>Accessories</v>
      </c>
      <c r="M18" t="str">
        <f>_xlfn.XLOOKUP(C18,customers!A:A,customers!B:B,"Not Found")</f>
        <v>Pooja Deshmukh</v>
      </c>
      <c r="N18" t="str">
        <f>_xlfn.XLOOKUP(C17,customers!A:A,customers!C:C,"Not Found")</f>
        <v>Bhopal</v>
      </c>
      <c r="O18" t="str">
        <f>IF(Sales_Data[[#This Row],[Total_Sales]]&gt;=50000,"High","Low")</f>
        <v>Low</v>
      </c>
    </row>
    <row r="19" spans="1:15" x14ac:dyDescent="0.3">
      <c r="A19">
        <v>1018</v>
      </c>
      <c r="B19" s="4">
        <v>46039</v>
      </c>
      <c r="C19" t="s">
        <v>30</v>
      </c>
      <c r="D19" t="s">
        <v>60</v>
      </c>
      <c r="E19">
        <v>7</v>
      </c>
      <c r="F19">
        <v>22000</v>
      </c>
      <c r="G19" t="s">
        <v>89</v>
      </c>
      <c r="H19" t="s">
        <v>84</v>
      </c>
      <c r="I19" t="s">
        <v>81</v>
      </c>
      <c r="J19">
        <v>154000</v>
      </c>
      <c r="K19" t="str">
        <f>_xlfn.XLOOKUP(Sales_Data[[#This Row],[Product_ID]],products!A:A,products!B:B,"Not Found")</f>
        <v>Tablet</v>
      </c>
      <c r="L19" t="str">
        <f>_xlfn.XLOOKUP(Sales_Data[[#This Row],[Product_ID]],products!A:A,products!C:C,"Not Found")</f>
        <v>Electronics</v>
      </c>
      <c r="M19" t="str">
        <f>_xlfn.XLOOKUP(C19,customers!A:A,customers!B:B,"Not Found")</f>
        <v>Anjali Kulkarni</v>
      </c>
      <c r="N19" t="str">
        <f>_xlfn.XLOOKUP(C18,customers!A:A,customers!C:C,"Not Found")</f>
        <v>Aurangabad</v>
      </c>
      <c r="O19" t="str">
        <f>IF(Sales_Data[[#This Row],[Total_Sales]]&gt;=50000,"High","Low")</f>
        <v>High</v>
      </c>
    </row>
    <row r="20" spans="1:15" x14ac:dyDescent="0.3">
      <c r="A20">
        <v>1019</v>
      </c>
      <c r="B20" s="4">
        <v>46164</v>
      </c>
      <c r="C20" t="s">
        <v>15</v>
      </c>
      <c r="D20" t="s">
        <v>64</v>
      </c>
      <c r="E20">
        <v>1</v>
      </c>
      <c r="F20">
        <v>900</v>
      </c>
      <c r="G20" t="s">
        <v>86</v>
      </c>
      <c r="H20" t="s">
        <v>79</v>
      </c>
      <c r="I20" t="s">
        <v>85</v>
      </c>
      <c r="J20">
        <v>900</v>
      </c>
      <c r="K20" t="str">
        <f>_xlfn.XLOOKUP(Sales_Data[[#This Row],[Product_ID]],products!A:A,products!B:B,"Not Found")</f>
        <v>USB Drive</v>
      </c>
      <c r="L20" t="str">
        <f>_xlfn.XLOOKUP(Sales_Data[[#This Row],[Product_ID]],products!A:A,products!C:C,"Not Found")</f>
        <v>Accessories</v>
      </c>
      <c r="M20" t="str">
        <f>_xlfn.XLOOKUP(C20,customers!A:A,customers!B:B,"Not Found")</f>
        <v>Rohit Singh</v>
      </c>
      <c r="N20" t="str">
        <f>_xlfn.XLOOKUP(C19,customers!A:A,customers!C:C,"Not Found")</f>
        <v>Nagpur</v>
      </c>
      <c r="O20" t="str">
        <f>IF(Sales_Data[[#This Row],[Total_Sales]]&gt;=50000,"High","Low")</f>
        <v>Low</v>
      </c>
    </row>
    <row r="21" spans="1:15" x14ac:dyDescent="0.3">
      <c r="A21">
        <v>1020</v>
      </c>
      <c r="B21" s="4">
        <v>46098</v>
      </c>
      <c r="C21" t="s">
        <v>6</v>
      </c>
      <c r="D21" t="s">
        <v>58</v>
      </c>
      <c r="E21">
        <v>7</v>
      </c>
      <c r="F21">
        <v>12000</v>
      </c>
      <c r="G21" t="s">
        <v>75</v>
      </c>
      <c r="H21" t="s">
        <v>88</v>
      </c>
      <c r="I21" t="s">
        <v>77</v>
      </c>
      <c r="J21">
        <v>84000</v>
      </c>
      <c r="K21" t="str">
        <f>_xlfn.XLOOKUP(Sales_Data[[#This Row],[Product_ID]],products!A:A,products!B:B,"Not Found")</f>
        <v>Printer</v>
      </c>
      <c r="L21" t="str">
        <f>_xlfn.XLOOKUP(Sales_Data[[#This Row],[Product_ID]],products!A:A,products!C:C,"Not Found")</f>
        <v>Electronics</v>
      </c>
      <c r="M21" t="str">
        <f>_xlfn.XLOOKUP(C21,customers!A:A,customers!B:B,"Not Found")</f>
        <v>Priya Patil</v>
      </c>
      <c r="N21" t="str">
        <f>_xlfn.XLOOKUP(C20,customers!A:A,customers!C:C,"Not Found")</f>
        <v>Delhi</v>
      </c>
      <c r="O21" t="str">
        <f>IF(Sales_Data[[#This Row],[Total_Sales]]&gt;=50000,"High","Low")</f>
        <v>High</v>
      </c>
    </row>
    <row r="22" spans="1:15" x14ac:dyDescent="0.3">
      <c r="A22">
        <v>1021</v>
      </c>
      <c r="B22" s="4">
        <v>46068</v>
      </c>
      <c r="C22" t="s">
        <v>27</v>
      </c>
      <c r="D22" t="s">
        <v>56</v>
      </c>
      <c r="E22">
        <v>2</v>
      </c>
      <c r="F22">
        <v>3500</v>
      </c>
      <c r="G22" t="s">
        <v>86</v>
      </c>
      <c r="H22" t="s">
        <v>83</v>
      </c>
      <c r="I22" t="s">
        <v>87</v>
      </c>
      <c r="J22">
        <v>7000</v>
      </c>
      <c r="K22" t="str">
        <f>_xlfn.XLOOKUP(Sales_Data[[#This Row],[Product_ID]],products!A:A,products!B:B,"Not Found")</f>
        <v>Headphones</v>
      </c>
      <c r="L22" t="str">
        <f>_xlfn.XLOOKUP(Sales_Data[[#This Row],[Product_ID]],products!A:A,products!C:C,"Not Found")</f>
        <v>Accessories</v>
      </c>
      <c r="M22" t="str">
        <f>_xlfn.XLOOKUP(C22,customers!A:A,customers!B:B,"Not Found")</f>
        <v>Vikas Yadav</v>
      </c>
      <c r="N22" t="str">
        <f>_xlfn.XLOOKUP(C21,customers!A:A,customers!C:C,"Not Found")</f>
        <v>Pune</v>
      </c>
      <c r="O22" t="str">
        <f>IF(Sales_Data[[#This Row],[Total_Sales]]&gt;=50000,"High","Low")</f>
        <v>Low</v>
      </c>
    </row>
    <row r="23" spans="1:15" x14ac:dyDescent="0.3">
      <c r="A23">
        <v>1022</v>
      </c>
      <c r="B23" s="4">
        <v>46064</v>
      </c>
      <c r="C23" t="s">
        <v>18</v>
      </c>
      <c r="D23" t="s">
        <v>52</v>
      </c>
      <c r="E23">
        <v>1</v>
      </c>
      <c r="F23">
        <v>800</v>
      </c>
      <c r="G23" t="s">
        <v>80</v>
      </c>
      <c r="H23" t="s">
        <v>83</v>
      </c>
      <c r="I23" t="s">
        <v>81</v>
      </c>
      <c r="J23">
        <v>800</v>
      </c>
      <c r="K23" t="str">
        <f>_xlfn.XLOOKUP(Sales_Data[[#This Row],[Product_ID]],products!A:A,products!B:B,"Not Found")</f>
        <v>Mouse</v>
      </c>
      <c r="L23" t="str">
        <f>_xlfn.XLOOKUP(Sales_Data[[#This Row],[Product_ID]],products!A:A,products!C:C,"Not Found")</f>
        <v>Accessories</v>
      </c>
      <c r="M23" t="str">
        <f>_xlfn.XLOOKUP(C23,customers!A:A,customers!B:B,"Not Found")</f>
        <v>Neha Gupta</v>
      </c>
      <c r="N23" t="str">
        <f>_xlfn.XLOOKUP(C22,customers!A:A,customers!C:C,"Not Found")</f>
        <v>Thane</v>
      </c>
      <c r="O23" t="str">
        <f>IF(Sales_Data[[#This Row],[Total_Sales]]&gt;=50000,"High","Low")</f>
        <v>Low</v>
      </c>
    </row>
    <row r="24" spans="1:15" x14ac:dyDescent="0.3">
      <c r="A24">
        <v>1023</v>
      </c>
      <c r="B24" s="4">
        <v>46115</v>
      </c>
      <c r="C24" t="s">
        <v>6</v>
      </c>
      <c r="D24" t="s">
        <v>46</v>
      </c>
      <c r="E24">
        <v>5</v>
      </c>
      <c r="F24">
        <v>55000</v>
      </c>
      <c r="G24" t="s">
        <v>75</v>
      </c>
      <c r="H24" t="s">
        <v>79</v>
      </c>
      <c r="I24" t="s">
        <v>87</v>
      </c>
      <c r="J24">
        <v>275000</v>
      </c>
      <c r="K24" t="str">
        <f>_xlfn.XLOOKUP(Sales_Data[[#This Row],[Product_ID]],products!A:A,products!B:B,"Not Found")</f>
        <v>Laptop</v>
      </c>
      <c r="L24" t="str">
        <f>_xlfn.XLOOKUP(Sales_Data[[#This Row],[Product_ID]],products!A:A,products!C:C,"Not Found")</f>
        <v>Electronics</v>
      </c>
      <c r="M24" t="str">
        <f>_xlfn.XLOOKUP(C24,customers!A:A,customers!B:B,"Not Found")</f>
        <v>Priya Patil</v>
      </c>
      <c r="N24" t="str">
        <f>_xlfn.XLOOKUP(C23,customers!A:A,customers!C:C,"Not Found")</f>
        <v>Indore</v>
      </c>
      <c r="O24" t="str">
        <f>IF(Sales_Data[[#This Row],[Total_Sales]]&gt;=50000,"High","Low")</f>
        <v>High</v>
      </c>
    </row>
    <row r="25" spans="1:15" x14ac:dyDescent="0.3">
      <c r="A25">
        <v>1024</v>
      </c>
      <c r="B25" s="4">
        <v>46044</v>
      </c>
      <c r="C25" t="s">
        <v>6</v>
      </c>
      <c r="D25" t="s">
        <v>66</v>
      </c>
      <c r="E25">
        <v>8</v>
      </c>
      <c r="F25">
        <v>30000</v>
      </c>
      <c r="G25" t="s">
        <v>78</v>
      </c>
      <c r="H25" t="s">
        <v>84</v>
      </c>
      <c r="I25" t="s">
        <v>87</v>
      </c>
      <c r="J25">
        <v>240000</v>
      </c>
      <c r="K25" t="str">
        <f>_xlfn.XLOOKUP(Sales_Data[[#This Row],[Product_ID]],products!A:A,products!B:B,"Not Found")</f>
        <v>Smartphone</v>
      </c>
      <c r="L25" t="str">
        <f>_xlfn.XLOOKUP(Sales_Data[[#This Row],[Product_ID]],products!A:A,products!C:C,"Not Found")</f>
        <v>Electronics</v>
      </c>
      <c r="M25" t="str">
        <f>_xlfn.XLOOKUP(C25,customers!A:A,customers!B:B,"Not Found")</f>
        <v>Priya Patil</v>
      </c>
      <c r="N25" t="str">
        <f>_xlfn.XLOOKUP(C24,customers!A:A,customers!C:C,"Not Found")</f>
        <v>Pune</v>
      </c>
      <c r="O25" t="str">
        <f>IF(Sales_Data[[#This Row],[Total_Sales]]&gt;=50000,"High","Low")</f>
        <v>High</v>
      </c>
    </row>
    <row r="26" spans="1:15" x14ac:dyDescent="0.3">
      <c r="A26">
        <v>1025</v>
      </c>
      <c r="B26" s="4">
        <v>46144</v>
      </c>
      <c r="C26" t="s">
        <v>32</v>
      </c>
      <c r="D26" t="s">
        <v>52</v>
      </c>
      <c r="E26">
        <v>3</v>
      </c>
      <c r="F26">
        <v>800</v>
      </c>
      <c r="G26" t="s">
        <v>82</v>
      </c>
      <c r="H26" t="s">
        <v>84</v>
      </c>
      <c r="I26" t="s">
        <v>81</v>
      </c>
      <c r="J26">
        <v>2400</v>
      </c>
      <c r="K26" t="str">
        <f>_xlfn.XLOOKUP(Sales_Data[[#This Row],[Product_ID]],products!A:A,products!B:B,"Not Found")</f>
        <v>Mouse</v>
      </c>
      <c r="L26" t="str">
        <f>_xlfn.XLOOKUP(Sales_Data[[#This Row],[Product_ID]],products!A:A,products!C:C,"Not Found")</f>
        <v>Accessories</v>
      </c>
      <c r="M26" t="str">
        <f>_xlfn.XLOOKUP(C26,customers!A:A,customers!B:B,"Not Found")</f>
        <v>Sahil Khan</v>
      </c>
      <c r="N26" t="str">
        <f>_xlfn.XLOOKUP(C25,customers!A:A,customers!C:C,"Not Found")</f>
        <v>Pune</v>
      </c>
      <c r="O26" t="str">
        <f>IF(Sales_Data[[#This Row],[Total_Sales]]&gt;=50000,"High","Low")</f>
        <v>Low</v>
      </c>
    </row>
    <row r="27" spans="1:15" x14ac:dyDescent="0.3">
      <c r="A27">
        <v>1026</v>
      </c>
      <c r="B27" s="4">
        <v>46161</v>
      </c>
      <c r="C27" t="s">
        <v>40</v>
      </c>
      <c r="D27" t="s">
        <v>54</v>
      </c>
      <c r="E27">
        <v>4</v>
      </c>
      <c r="F27">
        <v>15000</v>
      </c>
      <c r="G27" t="s">
        <v>86</v>
      </c>
      <c r="H27" t="s">
        <v>83</v>
      </c>
      <c r="I27" t="s">
        <v>81</v>
      </c>
      <c r="J27">
        <v>60000</v>
      </c>
      <c r="K27" t="str">
        <f>_xlfn.XLOOKUP(Sales_Data[[#This Row],[Product_ID]],products!A:A,products!B:B,"Not Found")</f>
        <v>Monitor</v>
      </c>
      <c r="L27" t="str">
        <f>_xlfn.XLOOKUP(Sales_Data[[#This Row],[Product_ID]],products!A:A,products!C:C,"Not Found")</f>
        <v>Electronics</v>
      </c>
      <c r="M27" t="str">
        <f>_xlfn.XLOOKUP(C27,customers!A:A,customers!B:B,"Not Found")</f>
        <v>Nitin More</v>
      </c>
      <c r="N27" t="str">
        <f>_xlfn.XLOOKUP(C26,customers!A:A,customers!C:C,"Not Found")</f>
        <v>Pune</v>
      </c>
      <c r="O27" t="str">
        <f>IF(Sales_Data[[#This Row],[Total_Sales]]&gt;=50000,"High","Low")</f>
        <v>High</v>
      </c>
    </row>
    <row r="28" spans="1:15" x14ac:dyDescent="0.3">
      <c r="A28">
        <v>1027</v>
      </c>
      <c r="B28" s="4">
        <v>46155</v>
      </c>
      <c r="C28" t="s">
        <v>24</v>
      </c>
      <c r="D28" t="s">
        <v>58</v>
      </c>
      <c r="E28">
        <v>8</v>
      </c>
      <c r="F28">
        <v>12000</v>
      </c>
      <c r="G28" t="s">
        <v>78</v>
      </c>
      <c r="H28" t="s">
        <v>76</v>
      </c>
      <c r="I28" t="s">
        <v>87</v>
      </c>
      <c r="J28">
        <v>96000</v>
      </c>
      <c r="K28" t="str">
        <f>_xlfn.XLOOKUP(Sales_Data[[#This Row],[Product_ID]],products!A:A,products!B:B,"Not Found")</f>
        <v>Printer</v>
      </c>
      <c r="L28" t="str">
        <f>_xlfn.XLOOKUP(Sales_Data[[#This Row],[Product_ID]],products!A:A,products!C:C,"Not Found")</f>
        <v>Electronics</v>
      </c>
      <c r="M28" t="str">
        <f>_xlfn.XLOOKUP(C28,customers!A:A,customers!B:B,"Not Found")</f>
        <v>Pooja Deshmukh</v>
      </c>
      <c r="N28" t="str">
        <f>_xlfn.XLOOKUP(C27,customers!A:A,customers!C:C,"Not Found")</f>
        <v>Nagpur</v>
      </c>
      <c r="O28" t="str">
        <f>IF(Sales_Data[[#This Row],[Total_Sales]]&gt;=50000,"High","Low")</f>
        <v>High</v>
      </c>
    </row>
    <row r="29" spans="1:15" x14ac:dyDescent="0.3">
      <c r="A29">
        <v>1028</v>
      </c>
      <c r="B29" s="4">
        <v>46028</v>
      </c>
      <c r="C29" t="s">
        <v>18</v>
      </c>
      <c r="D29" t="s">
        <v>49</v>
      </c>
      <c r="E29">
        <v>4</v>
      </c>
      <c r="F29">
        <v>2500</v>
      </c>
      <c r="G29" t="s">
        <v>80</v>
      </c>
      <c r="H29" t="s">
        <v>76</v>
      </c>
      <c r="I29" t="s">
        <v>77</v>
      </c>
      <c r="J29">
        <v>10000</v>
      </c>
      <c r="K29" t="str">
        <f>_xlfn.XLOOKUP(Sales_Data[[#This Row],[Product_ID]],products!A:A,products!B:B,"Not Found")</f>
        <v>Keyboard</v>
      </c>
      <c r="L29" t="str">
        <f>_xlfn.XLOOKUP(Sales_Data[[#This Row],[Product_ID]],products!A:A,products!C:C,"Not Found")</f>
        <v>Accessories</v>
      </c>
      <c r="M29" t="str">
        <f>_xlfn.XLOOKUP(C29,customers!A:A,customers!B:B,"Not Found")</f>
        <v>Neha Gupta</v>
      </c>
      <c r="N29" t="str">
        <f>_xlfn.XLOOKUP(C28,customers!A:A,customers!C:C,"Not Found")</f>
        <v>Aurangabad</v>
      </c>
      <c r="O29" t="str">
        <f>IF(Sales_Data[[#This Row],[Total_Sales]]&gt;=50000,"High","Low")</f>
        <v>Low</v>
      </c>
    </row>
    <row r="30" spans="1:15" x14ac:dyDescent="0.3">
      <c r="A30">
        <v>1029</v>
      </c>
      <c r="B30" s="4">
        <v>46184</v>
      </c>
      <c r="C30" t="s">
        <v>34</v>
      </c>
      <c r="D30" t="s">
        <v>49</v>
      </c>
      <c r="E30">
        <v>1</v>
      </c>
      <c r="F30">
        <v>2500</v>
      </c>
      <c r="G30" t="s">
        <v>75</v>
      </c>
      <c r="H30" t="s">
        <v>79</v>
      </c>
      <c r="I30" t="s">
        <v>77</v>
      </c>
      <c r="J30">
        <v>2500</v>
      </c>
      <c r="K30" t="str">
        <f>_xlfn.XLOOKUP(Sales_Data[[#This Row],[Product_ID]],products!A:A,products!B:B,"Not Found")</f>
        <v>Keyboard</v>
      </c>
      <c r="L30" t="str">
        <f>_xlfn.XLOOKUP(Sales_Data[[#This Row],[Product_ID]],products!A:A,products!C:C,"Not Found")</f>
        <v>Accessories</v>
      </c>
      <c r="M30" t="str">
        <f>_xlfn.XLOOKUP(C30,customers!A:A,customers!B:B,"Not Found")</f>
        <v>Riya Shah</v>
      </c>
      <c r="N30" t="str">
        <f>_xlfn.XLOOKUP(C29,customers!A:A,customers!C:C,"Not Found")</f>
        <v>Indore</v>
      </c>
      <c r="O30" t="str">
        <f>IF(Sales_Data[[#This Row],[Total_Sales]]&gt;=50000,"High","Low")</f>
        <v>Low</v>
      </c>
    </row>
    <row r="31" spans="1:15" x14ac:dyDescent="0.3">
      <c r="A31">
        <v>1030</v>
      </c>
      <c r="B31" s="4">
        <v>46154</v>
      </c>
      <c r="C31" t="s">
        <v>6</v>
      </c>
      <c r="D31" t="s">
        <v>58</v>
      </c>
      <c r="E31">
        <v>4</v>
      </c>
      <c r="F31">
        <v>12000</v>
      </c>
      <c r="G31" t="s">
        <v>82</v>
      </c>
      <c r="H31" t="s">
        <v>88</v>
      </c>
      <c r="I31" t="s">
        <v>87</v>
      </c>
      <c r="J31">
        <v>48000</v>
      </c>
      <c r="K31" t="str">
        <f>_xlfn.XLOOKUP(Sales_Data[[#This Row],[Product_ID]],products!A:A,products!B:B,"Not Found")</f>
        <v>Printer</v>
      </c>
      <c r="L31" t="str">
        <f>_xlfn.XLOOKUP(Sales_Data[[#This Row],[Product_ID]],products!A:A,products!C:C,"Not Found")</f>
        <v>Electronics</v>
      </c>
      <c r="M31" t="str">
        <f>_xlfn.XLOOKUP(C31,customers!A:A,customers!B:B,"Not Found")</f>
        <v>Priya Patil</v>
      </c>
      <c r="N31" t="str">
        <f>_xlfn.XLOOKUP(C30,customers!A:A,customers!C:C,"Not Found")</f>
        <v>Mumbai</v>
      </c>
      <c r="O31" t="str">
        <f>IF(Sales_Data[[#This Row],[Total_Sales]]&gt;=50000,"High","Low")</f>
        <v>Low</v>
      </c>
    </row>
    <row r="32" spans="1:15" x14ac:dyDescent="0.3">
      <c r="A32">
        <v>1031</v>
      </c>
      <c r="B32" s="4">
        <v>46169</v>
      </c>
      <c r="C32" t="s">
        <v>9</v>
      </c>
      <c r="D32" t="s">
        <v>64</v>
      </c>
      <c r="E32">
        <v>8</v>
      </c>
      <c r="F32">
        <v>900</v>
      </c>
      <c r="G32" t="s">
        <v>75</v>
      </c>
      <c r="H32" t="s">
        <v>88</v>
      </c>
      <c r="I32" t="s">
        <v>81</v>
      </c>
      <c r="J32">
        <v>7200</v>
      </c>
      <c r="K32" t="str">
        <f>_xlfn.XLOOKUP(Sales_Data[[#This Row],[Product_ID]],products!A:A,products!B:B,"Not Found")</f>
        <v>USB Drive</v>
      </c>
      <c r="L32" t="str">
        <f>_xlfn.XLOOKUP(Sales_Data[[#This Row],[Product_ID]],products!A:A,products!C:C,"Not Found")</f>
        <v>Accessories</v>
      </c>
      <c r="M32" t="str">
        <f>_xlfn.XLOOKUP(C32,customers!A:A,customers!B:B,"Not Found")</f>
        <v>Amit Verma</v>
      </c>
      <c r="N32" t="str">
        <f>_xlfn.XLOOKUP(C31,customers!A:A,customers!C:C,"Not Found")</f>
        <v>Pune</v>
      </c>
      <c r="O32" t="str">
        <f>IF(Sales_Data[[#This Row],[Total_Sales]]&gt;=50000,"High","Low")</f>
        <v>Low</v>
      </c>
    </row>
    <row r="33" spans="1:15" x14ac:dyDescent="0.3">
      <c r="A33">
        <v>1032</v>
      </c>
      <c r="B33" s="4">
        <v>46047</v>
      </c>
      <c r="C33" t="s">
        <v>6</v>
      </c>
      <c r="D33" t="s">
        <v>54</v>
      </c>
      <c r="E33">
        <v>7</v>
      </c>
      <c r="F33">
        <v>15000</v>
      </c>
      <c r="G33" t="s">
        <v>82</v>
      </c>
      <c r="H33" t="s">
        <v>88</v>
      </c>
      <c r="I33" t="s">
        <v>81</v>
      </c>
      <c r="J33">
        <v>105000</v>
      </c>
      <c r="K33" t="str">
        <f>_xlfn.XLOOKUP(Sales_Data[[#This Row],[Product_ID]],products!A:A,products!B:B,"Not Found")</f>
        <v>Monitor</v>
      </c>
      <c r="L33" t="str">
        <f>_xlfn.XLOOKUP(Sales_Data[[#This Row],[Product_ID]],products!A:A,products!C:C,"Not Found")</f>
        <v>Electronics</v>
      </c>
      <c r="M33" t="str">
        <f>_xlfn.XLOOKUP(C33,customers!A:A,customers!B:B,"Not Found")</f>
        <v>Priya Patil</v>
      </c>
      <c r="N33" t="str">
        <f>_xlfn.XLOOKUP(C32,customers!A:A,customers!C:C,"Not Found")</f>
        <v>Mumbai</v>
      </c>
      <c r="O33" t="str">
        <f>IF(Sales_Data[[#This Row],[Total_Sales]]&gt;=50000,"High","Low")</f>
        <v>High</v>
      </c>
    </row>
    <row r="34" spans="1:15" x14ac:dyDescent="0.3">
      <c r="A34">
        <v>1033</v>
      </c>
      <c r="B34" s="4">
        <v>46036</v>
      </c>
      <c r="C34" t="s">
        <v>38</v>
      </c>
      <c r="D34" t="s">
        <v>62</v>
      </c>
      <c r="E34">
        <v>2</v>
      </c>
      <c r="F34">
        <v>3000</v>
      </c>
      <c r="G34" t="s">
        <v>78</v>
      </c>
      <c r="H34" t="s">
        <v>88</v>
      </c>
      <c r="I34" t="s">
        <v>85</v>
      </c>
      <c r="J34">
        <v>6000</v>
      </c>
      <c r="K34" t="str">
        <f>_xlfn.XLOOKUP(Sales_Data[[#This Row],[Product_ID]],products!A:A,products!B:B,"Not Found")</f>
        <v>Webcam</v>
      </c>
      <c r="L34" t="str">
        <f>_xlfn.XLOOKUP(Sales_Data[[#This Row],[Product_ID]],products!A:A,products!C:C,"Not Found")</f>
        <v>Accessories</v>
      </c>
      <c r="M34" t="str">
        <f>_xlfn.XLOOKUP(C34,customers!A:A,customers!B:B,"Not Found")</f>
        <v>Komal Pawar</v>
      </c>
      <c r="N34" t="str">
        <f>_xlfn.XLOOKUP(C33,customers!A:A,customers!C:C,"Not Found")</f>
        <v>Pune</v>
      </c>
      <c r="O34" t="str">
        <f>IF(Sales_Data[[#This Row],[Total_Sales]]&gt;=50000,"High","Low")</f>
        <v>Low</v>
      </c>
    </row>
    <row r="35" spans="1:15" x14ac:dyDescent="0.3">
      <c r="A35">
        <v>1034</v>
      </c>
      <c r="B35" s="4">
        <v>46072</v>
      </c>
      <c r="C35" t="s">
        <v>12</v>
      </c>
      <c r="D35" t="s">
        <v>49</v>
      </c>
      <c r="E35">
        <v>4</v>
      </c>
      <c r="F35">
        <v>2500</v>
      </c>
      <c r="G35" t="s">
        <v>80</v>
      </c>
      <c r="H35" t="s">
        <v>88</v>
      </c>
      <c r="I35" t="s">
        <v>87</v>
      </c>
      <c r="J35">
        <v>10000</v>
      </c>
      <c r="K35" t="str">
        <f>_xlfn.XLOOKUP(Sales_Data[[#This Row],[Product_ID]],products!A:A,products!B:B,"Not Found")</f>
        <v>Keyboard</v>
      </c>
      <c r="L35" t="str">
        <f>_xlfn.XLOOKUP(Sales_Data[[#This Row],[Product_ID]],products!A:A,products!C:C,"Not Found")</f>
        <v>Accessories</v>
      </c>
      <c r="M35" t="str">
        <f>_xlfn.XLOOKUP(C35,customers!A:A,customers!B:B,"Not Found")</f>
        <v>Sneha Joshi</v>
      </c>
      <c r="N35" t="str">
        <f>_xlfn.XLOOKUP(C34,customers!A:A,customers!C:C,"Not Found")</f>
        <v>Indore</v>
      </c>
      <c r="O35" t="str">
        <f>IF(Sales_Data[[#This Row],[Total_Sales]]&gt;=50000,"High","Low")</f>
        <v>Low</v>
      </c>
    </row>
    <row r="36" spans="1:15" x14ac:dyDescent="0.3">
      <c r="A36">
        <v>1035</v>
      </c>
      <c r="B36" s="4">
        <v>46094</v>
      </c>
      <c r="C36" t="s">
        <v>9</v>
      </c>
      <c r="D36" t="s">
        <v>60</v>
      </c>
      <c r="E36">
        <v>8</v>
      </c>
      <c r="F36">
        <v>22000</v>
      </c>
      <c r="G36" t="s">
        <v>75</v>
      </c>
      <c r="H36" t="s">
        <v>79</v>
      </c>
      <c r="I36" t="s">
        <v>81</v>
      </c>
      <c r="J36">
        <v>176000</v>
      </c>
      <c r="K36" t="str">
        <f>_xlfn.XLOOKUP(Sales_Data[[#This Row],[Product_ID]],products!A:A,products!B:B,"Not Found")</f>
        <v>Tablet</v>
      </c>
      <c r="L36" t="str">
        <f>_xlfn.XLOOKUP(Sales_Data[[#This Row],[Product_ID]],products!A:A,products!C:C,"Not Found")</f>
        <v>Electronics</v>
      </c>
      <c r="M36" t="str">
        <f>_xlfn.XLOOKUP(C36,customers!A:A,customers!B:B,"Not Found")</f>
        <v>Amit Verma</v>
      </c>
      <c r="N36" t="str">
        <f>_xlfn.XLOOKUP(C35,customers!A:A,customers!C:C,"Not Found")</f>
        <v>Nashik</v>
      </c>
      <c r="O36" t="str">
        <f>IF(Sales_Data[[#This Row],[Total_Sales]]&gt;=50000,"High","Low")</f>
        <v>High</v>
      </c>
    </row>
    <row r="37" spans="1:15" x14ac:dyDescent="0.3">
      <c r="A37">
        <v>1036</v>
      </c>
      <c r="B37" s="4">
        <v>46035</v>
      </c>
      <c r="C37" t="s">
        <v>6</v>
      </c>
      <c r="D37" t="s">
        <v>64</v>
      </c>
      <c r="E37">
        <v>1</v>
      </c>
      <c r="F37">
        <v>900</v>
      </c>
      <c r="G37" t="s">
        <v>78</v>
      </c>
      <c r="H37" t="s">
        <v>76</v>
      </c>
      <c r="I37" t="s">
        <v>87</v>
      </c>
      <c r="J37">
        <v>900</v>
      </c>
      <c r="K37" t="str">
        <f>_xlfn.XLOOKUP(Sales_Data[[#This Row],[Product_ID]],products!A:A,products!B:B,"Not Found")</f>
        <v>USB Drive</v>
      </c>
      <c r="L37" t="str">
        <f>_xlfn.XLOOKUP(Sales_Data[[#This Row],[Product_ID]],products!A:A,products!C:C,"Not Found")</f>
        <v>Accessories</v>
      </c>
      <c r="M37" t="str">
        <f>_xlfn.XLOOKUP(C37,customers!A:A,customers!B:B,"Not Found")</f>
        <v>Priya Patil</v>
      </c>
      <c r="N37" t="str">
        <f>_xlfn.XLOOKUP(C36,customers!A:A,customers!C:C,"Not Found")</f>
        <v>Mumbai</v>
      </c>
      <c r="O37" t="str">
        <f>IF(Sales_Data[[#This Row],[Total_Sales]]&gt;=50000,"High","Low")</f>
        <v>Low</v>
      </c>
    </row>
    <row r="38" spans="1:15" x14ac:dyDescent="0.3">
      <c r="A38">
        <v>1037</v>
      </c>
      <c r="B38" s="4">
        <v>46146</v>
      </c>
      <c r="C38" t="s">
        <v>24</v>
      </c>
      <c r="D38" t="s">
        <v>60</v>
      </c>
      <c r="E38">
        <v>4</v>
      </c>
      <c r="F38">
        <v>22000</v>
      </c>
      <c r="G38" t="s">
        <v>89</v>
      </c>
      <c r="H38" t="s">
        <v>79</v>
      </c>
      <c r="I38" t="s">
        <v>87</v>
      </c>
      <c r="J38">
        <v>88000</v>
      </c>
      <c r="K38" t="str">
        <f>_xlfn.XLOOKUP(Sales_Data[[#This Row],[Product_ID]],products!A:A,products!B:B,"Not Found")</f>
        <v>Tablet</v>
      </c>
      <c r="L38" t="str">
        <f>_xlfn.XLOOKUP(Sales_Data[[#This Row],[Product_ID]],products!A:A,products!C:C,"Not Found")</f>
        <v>Electronics</v>
      </c>
      <c r="M38" t="str">
        <f>_xlfn.XLOOKUP(C38,customers!A:A,customers!B:B,"Not Found")</f>
        <v>Pooja Deshmukh</v>
      </c>
      <c r="N38" t="str">
        <f>_xlfn.XLOOKUP(C37,customers!A:A,customers!C:C,"Not Found")</f>
        <v>Pune</v>
      </c>
      <c r="O38" t="str">
        <f>IF(Sales_Data[[#This Row],[Total_Sales]]&gt;=50000,"High","Low")</f>
        <v>High</v>
      </c>
    </row>
    <row r="39" spans="1:15" x14ac:dyDescent="0.3">
      <c r="A39">
        <v>1038</v>
      </c>
      <c r="B39" s="4">
        <v>46122</v>
      </c>
      <c r="C39" t="s">
        <v>3</v>
      </c>
      <c r="D39" t="s">
        <v>60</v>
      </c>
      <c r="E39">
        <v>5</v>
      </c>
      <c r="F39">
        <v>22000</v>
      </c>
      <c r="G39" t="s">
        <v>89</v>
      </c>
      <c r="H39" t="s">
        <v>83</v>
      </c>
      <c r="I39" t="s">
        <v>81</v>
      </c>
      <c r="J39">
        <v>110000</v>
      </c>
      <c r="K39" t="str">
        <f>_xlfn.XLOOKUP(Sales_Data[[#This Row],[Product_ID]],products!A:A,products!B:B,"Not Found")</f>
        <v>Tablet</v>
      </c>
      <c r="L39" t="str">
        <f>_xlfn.XLOOKUP(Sales_Data[[#This Row],[Product_ID]],products!A:A,products!C:C,"Not Found")</f>
        <v>Electronics</v>
      </c>
      <c r="M39" t="str">
        <f>_xlfn.XLOOKUP(C39,customers!A:A,customers!B:B,"Not Found")</f>
        <v>Rahul Sharma</v>
      </c>
      <c r="N39" t="str">
        <f>_xlfn.XLOOKUP(C38,customers!A:A,customers!C:C,"Not Found")</f>
        <v>Aurangabad</v>
      </c>
      <c r="O39" t="str">
        <f>IF(Sales_Data[[#This Row],[Total_Sales]]&gt;=50000,"High","Low")</f>
        <v>High</v>
      </c>
    </row>
    <row r="40" spans="1:15" x14ac:dyDescent="0.3">
      <c r="A40">
        <v>1039</v>
      </c>
      <c r="B40" s="4">
        <v>46147</v>
      </c>
      <c r="C40" t="s">
        <v>32</v>
      </c>
      <c r="D40" t="s">
        <v>64</v>
      </c>
      <c r="E40">
        <v>3</v>
      </c>
      <c r="F40">
        <v>900</v>
      </c>
      <c r="G40" t="s">
        <v>75</v>
      </c>
      <c r="H40" t="s">
        <v>83</v>
      </c>
      <c r="I40" t="s">
        <v>87</v>
      </c>
      <c r="J40">
        <v>2700</v>
      </c>
      <c r="K40" t="str">
        <f>_xlfn.XLOOKUP(Sales_Data[[#This Row],[Product_ID]],products!A:A,products!B:B,"Not Found")</f>
        <v>USB Drive</v>
      </c>
      <c r="L40" t="str">
        <f>_xlfn.XLOOKUP(Sales_Data[[#This Row],[Product_ID]],products!A:A,products!C:C,"Not Found")</f>
        <v>Accessories</v>
      </c>
      <c r="M40" t="str">
        <f>_xlfn.XLOOKUP(C40,customers!A:A,customers!B:B,"Not Found")</f>
        <v>Sahil Khan</v>
      </c>
      <c r="N40" t="str">
        <f>_xlfn.XLOOKUP(C39,customers!A:A,customers!C:C,"Not Found")</f>
        <v>Nagpur</v>
      </c>
      <c r="O40" t="str">
        <f>IF(Sales_Data[[#This Row],[Total_Sales]]&gt;=50000,"High","Low")</f>
        <v>Low</v>
      </c>
    </row>
    <row r="41" spans="1:15" x14ac:dyDescent="0.3">
      <c r="A41">
        <v>1040</v>
      </c>
      <c r="B41" s="4">
        <v>46161</v>
      </c>
      <c r="C41" t="s">
        <v>30</v>
      </c>
      <c r="D41" t="s">
        <v>46</v>
      </c>
      <c r="E41">
        <v>1</v>
      </c>
      <c r="F41">
        <v>55000</v>
      </c>
      <c r="G41" t="s">
        <v>86</v>
      </c>
      <c r="H41" t="s">
        <v>83</v>
      </c>
      <c r="I41" t="s">
        <v>77</v>
      </c>
      <c r="J41">
        <v>55000</v>
      </c>
      <c r="K41" t="str">
        <f>_xlfn.XLOOKUP(Sales_Data[[#This Row],[Product_ID]],products!A:A,products!B:B,"Not Found")</f>
        <v>Laptop</v>
      </c>
      <c r="L41" t="str">
        <f>_xlfn.XLOOKUP(Sales_Data[[#This Row],[Product_ID]],products!A:A,products!C:C,"Not Found")</f>
        <v>Electronics</v>
      </c>
      <c r="M41" t="str">
        <f>_xlfn.XLOOKUP(C41,customers!A:A,customers!B:B,"Not Found")</f>
        <v>Anjali Kulkarni</v>
      </c>
      <c r="N41" t="str">
        <f>_xlfn.XLOOKUP(C40,customers!A:A,customers!C:C,"Not Found")</f>
        <v>Pune</v>
      </c>
      <c r="O41" t="str">
        <f>IF(Sales_Data[[#This Row],[Total_Sales]]&gt;=50000,"High","Low")</f>
        <v>High</v>
      </c>
    </row>
    <row r="42" spans="1:15" x14ac:dyDescent="0.3">
      <c r="A42">
        <v>1041</v>
      </c>
      <c r="B42" s="4">
        <v>46145</v>
      </c>
      <c r="C42" t="s">
        <v>30</v>
      </c>
      <c r="D42" t="s">
        <v>46</v>
      </c>
      <c r="E42">
        <v>3</v>
      </c>
      <c r="F42">
        <v>55000</v>
      </c>
      <c r="G42" t="s">
        <v>78</v>
      </c>
      <c r="H42" t="s">
        <v>84</v>
      </c>
      <c r="I42" t="s">
        <v>77</v>
      </c>
      <c r="J42">
        <v>165000</v>
      </c>
      <c r="K42" t="str">
        <f>_xlfn.XLOOKUP(Sales_Data[[#This Row],[Product_ID]],products!A:A,products!B:B,"Not Found")</f>
        <v>Laptop</v>
      </c>
      <c r="L42" t="str">
        <f>_xlfn.XLOOKUP(Sales_Data[[#This Row],[Product_ID]],products!A:A,products!C:C,"Not Found")</f>
        <v>Electronics</v>
      </c>
      <c r="M42" t="str">
        <f>_xlfn.XLOOKUP(C42,customers!A:A,customers!B:B,"Not Found")</f>
        <v>Anjali Kulkarni</v>
      </c>
      <c r="N42" t="str">
        <f>_xlfn.XLOOKUP(C41,customers!A:A,customers!C:C,"Not Found")</f>
        <v>Nagpur</v>
      </c>
      <c r="O42" t="str">
        <f>IF(Sales_Data[[#This Row],[Total_Sales]]&gt;=50000,"High","Low")</f>
        <v>High</v>
      </c>
    </row>
    <row r="43" spans="1:15" x14ac:dyDescent="0.3">
      <c r="A43">
        <v>1042</v>
      </c>
      <c r="B43" s="4">
        <v>46175</v>
      </c>
      <c r="C43" t="s">
        <v>6</v>
      </c>
      <c r="D43" t="s">
        <v>52</v>
      </c>
      <c r="E43">
        <v>2</v>
      </c>
      <c r="F43">
        <v>800</v>
      </c>
      <c r="G43" t="s">
        <v>86</v>
      </c>
      <c r="H43" t="s">
        <v>76</v>
      </c>
      <c r="I43" t="s">
        <v>81</v>
      </c>
      <c r="J43">
        <v>1600</v>
      </c>
      <c r="K43" t="str">
        <f>_xlfn.XLOOKUP(Sales_Data[[#This Row],[Product_ID]],products!A:A,products!B:B,"Not Found")</f>
        <v>Mouse</v>
      </c>
      <c r="L43" t="str">
        <f>_xlfn.XLOOKUP(Sales_Data[[#This Row],[Product_ID]],products!A:A,products!C:C,"Not Found")</f>
        <v>Accessories</v>
      </c>
      <c r="M43" t="str">
        <f>_xlfn.XLOOKUP(C43,customers!A:A,customers!B:B,"Not Found")</f>
        <v>Priya Patil</v>
      </c>
      <c r="N43" t="str">
        <f>_xlfn.XLOOKUP(C42,customers!A:A,customers!C:C,"Not Found")</f>
        <v>Nagpur</v>
      </c>
      <c r="O43" t="str">
        <f>IF(Sales_Data[[#This Row],[Total_Sales]]&gt;=50000,"High","Low")</f>
        <v>Low</v>
      </c>
    </row>
    <row r="44" spans="1:15" x14ac:dyDescent="0.3">
      <c r="A44">
        <v>1043</v>
      </c>
      <c r="B44" s="4">
        <v>46168</v>
      </c>
      <c r="C44" t="s">
        <v>40</v>
      </c>
      <c r="D44" t="s">
        <v>49</v>
      </c>
      <c r="E44">
        <v>4</v>
      </c>
      <c r="F44">
        <v>2500</v>
      </c>
      <c r="G44" t="s">
        <v>80</v>
      </c>
      <c r="H44" t="s">
        <v>84</v>
      </c>
      <c r="I44" t="s">
        <v>77</v>
      </c>
      <c r="J44">
        <v>10000</v>
      </c>
      <c r="K44" t="str">
        <f>_xlfn.XLOOKUP(Sales_Data[[#This Row],[Product_ID]],products!A:A,products!B:B,"Not Found")</f>
        <v>Keyboard</v>
      </c>
      <c r="L44" t="str">
        <f>_xlfn.XLOOKUP(Sales_Data[[#This Row],[Product_ID]],products!A:A,products!C:C,"Not Found")</f>
        <v>Accessories</v>
      </c>
      <c r="M44" t="str">
        <f>_xlfn.XLOOKUP(C44,customers!A:A,customers!B:B,"Not Found")</f>
        <v>Nitin More</v>
      </c>
      <c r="N44" t="str">
        <f>_xlfn.XLOOKUP(C43,customers!A:A,customers!C:C,"Not Found")</f>
        <v>Pune</v>
      </c>
      <c r="O44" t="str">
        <f>IF(Sales_Data[[#This Row],[Total_Sales]]&gt;=50000,"High","Low")</f>
        <v>Low</v>
      </c>
    </row>
    <row r="45" spans="1:15" x14ac:dyDescent="0.3">
      <c r="A45">
        <v>1044</v>
      </c>
      <c r="B45" s="4">
        <v>46130</v>
      </c>
      <c r="C45" t="s">
        <v>6</v>
      </c>
      <c r="D45" t="s">
        <v>66</v>
      </c>
      <c r="E45">
        <v>6</v>
      </c>
      <c r="F45">
        <v>30000</v>
      </c>
      <c r="G45" t="s">
        <v>82</v>
      </c>
      <c r="H45" t="s">
        <v>76</v>
      </c>
      <c r="I45" t="s">
        <v>85</v>
      </c>
      <c r="J45">
        <v>180000</v>
      </c>
      <c r="K45" t="str">
        <f>_xlfn.XLOOKUP(Sales_Data[[#This Row],[Product_ID]],products!A:A,products!B:B,"Not Found")</f>
        <v>Smartphone</v>
      </c>
      <c r="L45" t="str">
        <f>_xlfn.XLOOKUP(Sales_Data[[#This Row],[Product_ID]],products!A:A,products!C:C,"Not Found")</f>
        <v>Electronics</v>
      </c>
      <c r="M45" t="str">
        <f>_xlfn.XLOOKUP(C45,customers!A:A,customers!B:B,"Not Found")</f>
        <v>Priya Patil</v>
      </c>
      <c r="N45" t="str">
        <f>_xlfn.XLOOKUP(C44,customers!A:A,customers!C:C,"Not Found")</f>
        <v>Nagpur</v>
      </c>
      <c r="O45" t="str">
        <f>IF(Sales_Data[[#This Row],[Total_Sales]]&gt;=50000,"High","Low")</f>
        <v>High</v>
      </c>
    </row>
    <row r="46" spans="1:15" x14ac:dyDescent="0.3">
      <c r="A46">
        <v>1045</v>
      </c>
      <c r="B46" s="4">
        <v>46124</v>
      </c>
      <c r="C46" t="s">
        <v>15</v>
      </c>
      <c r="D46" t="s">
        <v>54</v>
      </c>
      <c r="E46">
        <v>3</v>
      </c>
      <c r="F46">
        <v>15000</v>
      </c>
      <c r="G46" t="s">
        <v>86</v>
      </c>
      <c r="H46" t="s">
        <v>83</v>
      </c>
      <c r="I46" t="s">
        <v>81</v>
      </c>
      <c r="J46">
        <v>45000</v>
      </c>
      <c r="K46" t="str">
        <f>_xlfn.XLOOKUP(Sales_Data[[#This Row],[Product_ID]],products!A:A,products!B:B,"Not Found")</f>
        <v>Monitor</v>
      </c>
      <c r="L46" t="str">
        <f>_xlfn.XLOOKUP(Sales_Data[[#This Row],[Product_ID]],products!A:A,products!C:C,"Not Found")</f>
        <v>Electronics</v>
      </c>
      <c r="M46" t="str">
        <f>_xlfn.XLOOKUP(C46,customers!A:A,customers!B:B,"Not Found")</f>
        <v>Rohit Singh</v>
      </c>
      <c r="N46" t="str">
        <f>_xlfn.XLOOKUP(C45,customers!A:A,customers!C:C,"Not Found")</f>
        <v>Pune</v>
      </c>
      <c r="O46" t="str">
        <f>IF(Sales_Data[[#This Row],[Total_Sales]]&gt;=50000,"High","Low")</f>
        <v>Low</v>
      </c>
    </row>
    <row r="47" spans="1:15" x14ac:dyDescent="0.3">
      <c r="A47">
        <v>1046</v>
      </c>
      <c r="B47" s="4">
        <v>46041</v>
      </c>
      <c r="C47" t="s">
        <v>40</v>
      </c>
      <c r="D47" t="s">
        <v>58</v>
      </c>
      <c r="E47">
        <v>1</v>
      </c>
      <c r="F47">
        <v>12000</v>
      </c>
      <c r="G47" t="s">
        <v>89</v>
      </c>
      <c r="H47" t="s">
        <v>84</v>
      </c>
      <c r="I47" t="s">
        <v>77</v>
      </c>
      <c r="J47">
        <v>12000</v>
      </c>
      <c r="K47" t="str">
        <f>_xlfn.XLOOKUP(Sales_Data[[#This Row],[Product_ID]],products!A:A,products!B:B,"Not Found")</f>
        <v>Printer</v>
      </c>
      <c r="L47" t="str">
        <f>_xlfn.XLOOKUP(Sales_Data[[#This Row],[Product_ID]],products!A:A,products!C:C,"Not Found")</f>
        <v>Electronics</v>
      </c>
      <c r="M47" t="str">
        <f>_xlfn.XLOOKUP(C47,customers!A:A,customers!B:B,"Not Found")</f>
        <v>Nitin More</v>
      </c>
      <c r="N47" t="str">
        <f>_xlfn.XLOOKUP(C46,customers!A:A,customers!C:C,"Not Found")</f>
        <v>Delhi</v>
      </c>
      <c r="O47" t="str">
        <f>IF(Sales_Data[[#This Row],[Total_Sales]]&gt;=50000,"High","Low")</f>
        <v>Low</v>
      </c>
    </row>
    <row r="48" spans="1:15" x14ac:dyDescent="0.3">
      <c r="A48">
        <v>1047</v>
      </c>
      <c r="B48" s="4">
        <v>46077</v>
      </c>
      <c r="C48" t="s">
        <v>27</v>
      </c>
      <c r="D48" t="s">
        <v>49</v>
      </c>
      <c r="E48">
        <v>5</v>
      </c>
      <c r="F48">
        <v>2500</v>
      </c>
      <c r="G48" t="s">
        <v>75</v>
      </c>
      <c r="H48" t="s">
        <v>83</v>
      </c>
      <c r="I48" t="s">
        <v>77</v>
      </c>
      <c r="J48">
        <v>12500</v>
      </c>
      <c r="K48" t="str">
        <f>_xlfn.XLOOKUP(Sales_Data[[#This Row],[Product_ID]],products!A:A,products!B:B,"Not Found")</f>
        <v>Keyboard</v>
      </c>
      <c r="L48" t="str">
        <f>_xlfn.XLOOKUP(Sales_Data[[#This Row],[Product_ID]],products!A:A,products!C:C,"Not Found")</f>
        <v>Accessories</v>
      </c>
      <c r="M48" t="str">
        <f>_xlfn.XLOOKUP(C48,customers!A:A,customers!B:B,"Not Found")</f>
        <v>Vikas Yadav</v>
      </c>
      <c r="N48" t="str">
        <f>_xlfn.XLOOKUP(C47,customers!A:A,customers!C:C,"Not Found")</f>
        <v>Nagpur</v>
      </c>
      <c r="O48" t="str">
        <f>IF(Sales_Data[[#This Row],[Total_Sales]]&gt;=50000,"High","Low")</f>
        <v>Low</v>
      </c>
    </row>
    <row r="49" spans="1:15" x14ac:dyDescent="0.3">
      <c r="A49">
        <v>1048</v>
      </c>
      <c r="B49" s="4">
        <v>46095</v>
      </c>
      <c r="C49" t="s">
        <v>18</v>
      </c>
      <c r="D49" t="s">
        <v>54</v>
      </c>
      <c r="E49">
        <v>3</v>
      </c>
      <c r="F49">
        <v>15000</v>
      </c>
      <c r="G49" t="s">
        <v>89</v>
      </c>
      <c r="H49" t="s">
        <v>84</v>
      </c>
      <c r="I49" t="s">
        <v>85</v>
      </c>
      <c r="J49">
        <v>45000</v>
      </c>
      <c r="K49" t="str">
        <f>_xlfn.XLOOKUP(Sales_Data[[#This Row],[Product_ID]],products!A:A,products!B:B,"Not Found")</f>
        <v>Monitor</v>
      </c>
      <c r="L49" t="str">
        <f>_xlfn.XLOOKUP(Sales_Data[[#This Row],[Product_ID]],products!A:A,products!C:C,"Not Found")</f>
        <v>Electronics</v>
      </c>
      <c r="M49" t="str">
        <f>_xlfn.XLOOKUP(C49,customers!A:A,customers!B:B,"Not Found")</f>
        <v>Neha Gupta</v>
      </c>
      <c r="N49" t="str">
        <f>_xlfn.XLOOKUP(C48,customers!A:A,customers!C:C,"Not Found")</f>
        <v>Thane</v>
      </c>
      <c r="O49" t="str">
        <f>IF(Sales_Data[[#This Row],[Total_Sales]]&gt;=50000,"High","Low")</f>
        <v>Low</v>
      </c>
    </row>
    <row r="50" spans="1:15" x14ac:dyDescent="0.3">
      <c r="A50">
        <v>1049</v>
      </c>
      <c r="B50" s="4">
        <v>46190</v>
      </c>
      <c r="C50" t="s">
        <v>36</v>
      </c>
      <c r="D50" t="s">
        <v>66</v>
      </c>
      <c r="E50">
        <v>1</v>
      </c>
      <c r="F50">
        <v>30000</v>
      </c>
      <c r="G50" t="s">
        <v>86</v>
      </c>
      <c r="H50" t="s">
        <v>84</v>
      </c>
      <c r="I50" t="s">
        <v>85</v>
      </c>
      <c r="J50">
        <v>30000</v>
      </c>
      <c r="K50" t="str">
        <f>_xlfn.XLOOKUP(Sales_Data[[#This Row],[Product_ID]],products!A:A,products!B:B,"Not Found")</f>
        <v>Smartphone</v>
      </c>
      <c r="L50" t="str">
        <f>_xlfn.XLOOKUP(Sales_Data[[#This Row],[Product_ID]],products!A:A,products!C:C,"Not Found")</f>
        <v>Electronics</v>
      </c>
      <c r="M50" t="str">
        <f>_xlfn.XLOOKUP(C50,customers!A:A,customers!B:B,"Not Found")</f>
        <v>Akash Jain</v>
      </c>
      <c r="N50" t="str">
        <f>_xlfn.XLOOKUP(C49,customers!A:A,customers!C:C,"Not Found")</f>
        <v>Indore</v>
      </c>
      <c r="O50" t="str">
        <f>IF(Sales_Data[[#This Row],[Total_Sales]]&gt;=50000,"High","Low")</f>
        <v>Low</v>
      </c>
    </row>
    <row r="51" spans="1:15" x14ac:dyDescent="0.3">
      <c r="A51">
        <v>1050</v>
      </c>
      <c r="B51" s="4">
        <v>46057</v>
      </c>
      <c r="C51" t="s">
        <v>40</v>
      </c>
      <c r="D51" t="s">
        <v>49</v>
      </c>
      <c r="E51">
        <v>5</v>
      </c>
      <c r="F51">
        <v>2500</v>
      </c>
      <c r="G51" t="s">
        <v>78</v>
      </c>
      <c r="H51" t="s">
        <v>79</v>
      </c>
      <c r="I51" t="s">
        <v>87</v>
      </c>
      <c r="J51">
        <v>12500</v>
      </c>
      <c r="K51" t="str">
        <f>_xlfn.XLOOKUP(Sales_Data[[#This Row],[Product_ID]],products!A:A,products!B:B,"Not Found")</f>
        <v>Keyboard</v>
      </c>
      <c r="L51" t="str">
        <f>_xlfn.XLOOKUP(Sales_Data[[#This Row],[Product_ID]],products!A:A,products!C:C,"Not Found")</f>
        <v>Accessories</v>
      </c>
      <c r="M51" t="str">
        <f>_xlfn.XLOOKUP(C51,customers!A:A,customers!B:B,"Not Found")</f>
        <v>Nitin More</v>
      </c>
      <c r="N51" t="str">
        <f>_xlfn.XLOOKUP(C50,customers!A:A,customers!C:C,"Not Found")</f>
        <v>Nashik</v>
      </c>
      <c r="O51" t="str">
        <f>IF(Sales_Data[[#This Row],[Total_Sales]]&gt;=50000,"High","Low")</f>
        <v>Low</v>
      </c>
    </row>
    <row r="52" spans="1:15" x14ac:dyDescent="0.3">
      <c r="A52">
        <v>1051</v>
      </c>
      <c r="B52" s="4">
        <v>46177</v>
      </c>
      <c r="C52" t="s">
        <v>15</v>
      </c>
      <c r="D52" t="s">
        <v>56</v>
      </c>
      <c r="E52">
        <v>4</v>
      </c>
      <c r="F52">
        <v>3500</v>
      </c>
      <c r="G52" t="s">
        <v>86</v>
      </c>
      <c r="H52" t="s">
        <v>83</v>
      </c>
      <c r="I52" t="s">
        <v>87</v>
      </c>
      <c r="J52">
        <v>14000</v>
      </c>
      <c r="K52" t="str">
        <f>_xlfn.XLOOKUP(Sales_Data[[#This Row],[Product_ID]],products!A:A,products!B:B,"Not Found")</f>
        <v>Headphones</v>
      </c>
      <c r="L52" t="str">
        <f>_xlfn.XLOOKUP(Sales_Data[[#This Row],[Product_ID]],products!A:A,products!C:C,"Not Found")</f>
        <v>Accessories</v>
      </c>
      <c r="M52" t="str">
        <f>_xlfn.XLOOKUP(C52,customers!A:A,customers!B:B,"Not Found")</f>
        <v>Rohit Singh</v>
      </c>
      <c r="N52" t="str">
        <f>_xlfn.XLOOKUP(C51,customers!A:A,customers!C:C,"Not Found")</f>
        <v>Nagpur</v>
      </c>
      <c r="O52" t="str">
        <f>IF(Sales_Data[[#This Row],[Total_Sales]]&gt;=50000,"High","Low")</f>
        <v>Low</v>
      </c>
    </row>
    <row r="53" spans="1:15" x14ac:dyDescent="0.3">
      <c r="A53">
        <v>1052</v>
      </c>
      <c r="B53" s="4">
        <v>46148</v>
      </c>
      <c r="C53" t="s">
        <v>27</v>
      </c>
      <c r="D53" t="s">
        <v>56</v>
      </c>
      <c r="E53">
        <v>5</v>
      </c>
      <c r="F53">
        <v>3500</v>
      </c>
      <c r="G53" t="s">
        <v>78</v>
      </c>
      <c r="H53" t="s">
        <v>79</v>
      </c>
      <c r="I53" t="s">
        <v>81</v>
      </c>
      <c r="J53">
        <v>17500</v>
      </c>
      <c r="K53" t="str">
        <f>_xlfn.XLOOKUP(Sales_Data[[#This Row],[Product_ID]],products!A:A,products!B:B,"Not Found")</f>
        <v>Headphones</v>
      </c>
      <c r="L53" t="str">
        <f>_xlfn.XLOOKUP(Sales_Data[[#This Row],[Product_ID]],products!A:A,products!C:C,"Not Found")</f>
        <v>Accessories</v>
      </c>
      <c r="M53" t="str">
        <f>_xlfn.XLOOKUP(C53,customers!A:A,customers!B:B,"Not Found")</f>
        <v>Vikas Yadav</v>
      </c>
      <c r="N53" t="str">
        <f>_xlfn.XLOOKUP(C52,customers!A:A,customers!C:C,"Not Found")</f>
        <v>Delhi</v>
      </c>
      <c r="O53" t="str">
        <f>IF(Sales_Data[[#This Row],[Total_Sales]]&gt;=50000,"High","Low")</f>
        <v>Low</v>
      </c>
    </row>
    <row r="54" spans="1:15" x14ac:dyDescent="0.3">
      <c r="A54">
        <v>1053</v>
      </c>
      <c r="B54" s="4">
        <v>46023</v>
      </c>
      <c r="C54" t="s">
        <v>3</v>
      </c>
      <c r="D54" t="s">
        <v>56</v>
      </c>
      <c r="E54">
        <v>6</v>
      </c>
      <c r="F54">
        <v>3500</v>
      </c>
      <c r="G54" t="s">
        <v>75</v>
      </c>
      <c r="H54" t="s">
        <v>83</v>
      </c>
      <c r="I54" t="s">
        <v>87</v>
      </c>
      <c r="J54">
        <v>21000</v>
      </c>
      <c r="K54" t="str">
        <f>_xlfn.XLOOKUP(Sales_Data[[#This Row],[Product_ID]],products!A:A,products!B:B,"Not Found")</f>
        <v>Headphones</v>
      </c>
      <c r="L54" t="str">
        <f>_xlfn.XLOOKUP(Sales_Data[[#This Row],[Product_ID]],products!A:A,products!C:C,"Not Found")</f>
        <v>Accessories</v>
      </c>
      <c r="M54" t="str">
        <f>_xlfn.XLOOKUP(C54,customers!A:A,customers!B:B,"Not Found")</f>
        <v>Rahul Sharma</v>
      </c>
      <c r="N54" t="str">
        <f>_xlfn.XLOOKUP(C53,customers!A:A,customers!C:C,"Not Found")</f>
        <v>Thane</v>
      </c>
      <c r="O54" t="str">
        <f>IF(Sales_Data[[#This Row],[Total_Sales]]&gt;=50000,"High","Low")</f>
        <v>Low</v>
      </c>
    </row>
    <row r="55" spans="1:15" x14ac:dyDescent="0.3">
      <c r="A55">
        <v>1054</v>
      </c>
      <c r="B55" s="4">
        <v>46203</v>
      </c>
      <c r="C55" t="s">
        <v>27</v>
      </c>
      <c r="D55" t="s">
        <v>62</v>
      </c>
      <c r="E55">
        <v>7</v>
      </c>
      <c r="F55">
        <v>3000</v>
      </c>
      <c r="G55" t="s">
        <v>80</v>
      </c>
      <c r="H55" t="s">
        <v>79</v>
      </c>
      <c r="I55" t="s">
        <v>77</v>
      </c>
      <c r="J55">
        <v>21000</v>
      </c>
      <c r="K55" t="str">
        <f>_xlfn.XLOOKUP(Sales_Data[[#This Row],[Product_ID]],products!A:A,products!B:B,"Not Found")</f>
        <v>Webcam</v>
      </c>
      <c r="L55" t="str">
        <f>_xlfn.XLOOKUP(Sales_Data[[#This Row],[Product_ID]],products!A:A,products!C:C,"Not Found")</f>
        <v>Accessories</v>
      </c>
      <c r="M55" t="str">
        <f>_xlfn.XLOOKUP(C55,customers!A:A,customers!B:B,"Not Found")</f>
        <v>Vikas Yadav</v>
      </c>
      <c r="N55" t="str">
        <f>_xlfn.XLOOKUP(C54,customers!A:A,customers!C:C,"Not Found")</f>
        <v>Nagpur</v>
      </c>
      <c r="O55" t="str">
        <f>IF(Sales_Data[[#This Row],[Total_Sales]]&gt;=50000,"High","Low")</f>
        <v>Low</v>
      </c>
    </row>
    <row r="56" spans="1:15" x14ac:dyDescent="0.3">
      <c r="A56">
        <v>1055</v>
      </c>
      <c r="B56" s="4">
        <v>46199</v>
      </c>
      <c r="C56" t="s">
        <v>40</v>
      </c>
      <c r="D56" t="s">
        <v>49</v>
      </c>
      <c r="E56">
        <v>3</v>
      </c>
      <c r="F56">
        <v>2500</v>
      </c>
      <c r="G56" t="s">
        <v>80</v>
      </c>
      <c r="H56" t="s">
        <v>79</v>
      </c>
      <c r="I56" t="s">
        <v>85</v>
      </c>
      <c r="J56">
        <v>7500</v>
      </c>
      <c r="K56" t="str">
        <f>_xlfn.XLOOKUP(Sales_Data[[#This Row],[Product_ID]],products!A:A,products!B:B,"Not Found")</f>
        <v>Keyboard</v>
      </c>
      <c r="L56" t="str">
        <f>_xlfn.XLOOKUP(Sales_Data[[#This Row],[Product_ID]],products!A:A,products!C:C,"Not Found")</f>
        <v>Accessories</v>
      </c>
      <c r="M56" t="str">
        <f>_xlfn.XLOOKUP(C56,customers!A:A,customers!B:B,"Not Found")</f>
        <v>Nitin More</v>
      </c>
      <c r="N56" t="str">
        <f>_xlfn.XLOOKUP(C55,customers!A:A,customers!C:C,"Not Found")</f>
        <v>Thane</v>
      </c>
      <c r="O56" t="str">
        <f>IF(Sales_Data[[#This Row],[Total_Sales]]&gt;=50000,"High","Low")</f>
        <v>Low</v>
      </c>
    </row>
    <row r="57" spans="1:15" x14ac:dyDescent="0.3">
      <c r="A57">
        <v>1056</v>
      </c>
      <c r="B57" s="4">
        <v>46060</v>
      </c>
      <c r="C57" t="s">
        <v>27</v>
      </c>
      <c r="D57" t="s">
        <v>66</v>
      </c>
      <c r="E57">
        <v>7</v>
      </c>
      <c r="F57">
        <v>30000</v>
      </c>
      <c r="G57" t="s">
        <v>75</v>
      </c>
      <c r="H57" t="s">
        <v>79</v>
      </c>
      <c r="I57" t="s">
        <v>85</v>
      </c>
      <c r="J57">
        <v>210000</v>
      </c>
      <c r="K57" t="str">
        <f>_xlfn.XLOOKUP(Sales_Data[[#This Row],[Product_ID]],products!A:A,products!B:B,"Not Found")</f>
        <v>Smartphone</v>
      </c>
      <c r="L57" t="str">
        <f>_xlfn.XLOOKUP(Sales_Data[[#This Row],[Product_ID]],products!A:A,products!C:C,"Not Found")</f>
        <v>Electronics</v>
      </c>
      <c r="M57" t="str">
        <f>_xlfn.XLOOKUP(C57,customers!A:A,customers!B:B,"Not Found")</f>
        <v>Vikas Yadav</v>
      </c>
      <c r="N57" t="str">
        <f>_xlfn.XLOOKUP(C56,customers!A:A,customers!C:C,"Not Found")</f>
        <v>Nagpur</v>
      </c>
      <c r="O57" t="str">
        <f>IF(Sales_Data[[#This Row],[Total_Sales]]&gt;=50000,"High","Low")</f>
        <v>High</v>
      </c>
    </row>
    <row r="58" spans="1:15" x14ac:dyDescent="0.3">
      <c r="A58">
        <v>1057</v>
      </c>
      <c r="B58" s="4">
        <v>46033</v>
      </c>
      <c r="C58" t="s">
        <v>40</v>
      </c>
      <c r="D58" t="s">
        <v>58</v>
      </c>
      <c r="E58">
        <v>6</v>
      </c>
      <c r="F58">
        <v>12000</v>
      </c>
      <c r="G58" t="s">
        <v>75</v>
      </c>
      <c r="H58" t="s">
        <v>76</v>
      </c>
      <c r="I58" t="s">
        <v>77</v>
      </c>
      <c r="J58">
        <v>72000</v>
      </c>
      <c r="K58" t="str">
        <f>_xlfn.XLOOKUP(Sales_Data[[#This Row],[Product_ID]],products!A:A,products!B:B,"Not Found")</f>
        <v>Printer</v>
      </c>
      <c r="L58" t="str">
        <f>_xlfn.XLOOKUP(Sales_Data[[#This Row],[Product_ID]],products!A:A,products!C:C,"Not Found")</f>
        <v>Electronics</v>
      </c>
      <c r="M58" t="str">
        <f>_xlfn.XLOOKUP(C58,customers!A:A,customers!B:B,"Not Found")</f>
        <v>Nitin More</v>
      </c>
      <c r="N58" t="str">
        <f>_xlfn.XLOOKUP(C57,customers!A:A,customers!C:C,"Not Found")</f>
        <v>Thane</v>
      </c>
      <c r="O58" t="str">
        <f>IF(Sales_Data[[#This Row],[Total_Sales]]&gt;=50000,"High","Low")</f>
        <v>High</v>
      </c>
    </row>
    <row r="59" spans="1:15" x14ac:dyDescent="0.3">
      <c r="A59">
        <v>1058</v>
      </c>
      <c r="B59" s="4">
        <v>46166</v>
      </c>
      <c r="C59" t="s">
        <v>36</v>
      </c>
      <c r="D59" t="s">
        <v>58</v>
      </c>
      <c r="E59">
        <v>7</v>
      </c>
      <c r="F59">
        <v>12000</v>
      </c>
      <c r="G59" t="s">
        <v>80</v>
      </c>
      <c r="H59" t="s">
        <v>76</v>
      </c>
      <c r="I59" t="s">
        <v>87</v>
      </c>
      <c r="J59">
        <v>84000</v>
      </c>
      <c r="K59" t="str">
        <f>_xlfn.XLOOKUP(Sales_Data[[#This Row],[Product_ID]],products!A:A,products!B:B,"Not Found")</f>
        <v>Printer</v>
      </c>
      <c r="L59" t="str">
        <f>_xlfn.XLOOKUP(Sales_Data[[#This Row],[Product_ID]],products!A:A,products!C:C,"Not Found")</f>
        <v>Electronics</v>
      </c>
      <c r="M59" t="str">
        <f>_xlfn.XLOOKUP(C59,customers!A:A,customers!B:B,"Not Found")</f>
        <v>Akash Jain</v>
      </c>
      <c r="N59" t="str">
        <f>_xlfn.XLOOKUP(C58,customers!A:A,customers!C:C,"Not Found")</f>
        <v>Nagpur</v>
      </c>
      <c r="O59" t="str">
        <f>IF(Sales_Data[[#This Row],[Total_Sales]]&gt;=50000,"High","Low")</f>
        <v>High</v>
      </c>
    </row>
    <row r="60" spans="1:15" x14ac:dyDescent="0.3">
      <c r="A60">
        <v>1059</v>
      </c>
      <c r="B60" s="4">
        <v>46068</v>
      </c>
      <c r="C60" t="s">
        <v>36</v>
      </c>
      <c r="D60" t="s">
        <v>52</v>
      </c>
      <c r="E60">
        <v>7</v>
      </c>
      <c r="F60">
        <v>800</v>
      </c>
      <c r="G60" t="s">
        <v>78</v>
      </c>
      <c r="H60" t="s">
        <v>76</v>
      </c>
      <c r="I60" t="s">
        <v>85</v>
      </c>
      <c r="J60">
        <v>5600</v>
      </c>
      <c r="K60" t="str">
        <f>_xlfn.XLOOKUP(Sales_Data[[#This Row],[Product_ID]],products!A:A,products!B:B,"Not Found")</f>
        <v>Mouse</v>
      </c>
      <c r="L60" t="str">
        <f>_xlfn.XLOOKUP(Sales_Data[[#This Row],[Product_ID]],products!A:A,products!C:C,"Not Found")</f>
        <v>Accessories</v>
      </c>
      <c r="M60" t="str">
        <f>_xlfn.XLOOKUP(C60,customers!A:A,customers!B:B,"Not Found")</f>
        <v>Akash Jain</v>
      </c>
      <c r="N60" t="str">
        <f>_xlfn.XLOOKUP(C59,customers!A:A,customers!C:C,"Not Found")</f>
        <v>Nashik</v>
      </c>
      <c r="O60" t="str">
        <f>IF(Sales_Data[[#This Row],[Total_Sales]]&gt;=50000,"High","Low")</f>
        <v>Low</v>
      </c>
    </row>
    <row r="61" spans="1:15" x14ac:dyDescent="0.3">
      <c r="A61">
        <v>1060</v>
      </c>
      <c r="B61" s="4">
        <v>46194</v>
      </c>
      <c r="C61" t="s">
        <v>36</v>
      </c>
      <c r="D61" t="s">
        <v>60</v>
      </c>
      <c r="E61">
        <v>4</v>
      </c>
      <c r="F61">
        <v>22000</v>
      </c>
      <c r="G61" t="s">
        <v>82</v>
      </c>
      <c r="H61" t="s">
        <v>76</v>
      </c>
      <c r="I61" t="s">
        <v>77</v>
      </c>
      <c r="J61">
        <v>88000</v>
      </c>
      <c r="K61" t="str">
        <f>_xlfn.XLOOKUP(Sales_Data[[#This Row],[Product_ID]],products!A:A,products!B:B,"Not Found")</f>
        <v>Tablet</v>
      </c>
      <c r="L61" t="str">
        <f>_xlfn.XLOOKUP(Sales_Data[[#This Row],[Product_ID]],products!A:A,products!C:C,"Not Found")</f>
        <v>Electronics</v>
      </c>
      <c r="M61" t="str">
        <f>_xlfn.XLOOKUP(C61,customers!A:A,customers!B:B,"Not Found")</f>
        <v>Akash Jain</v>
      </c>
      <c r="N61" t="str">
        <f>_xlfn.XLOOKUP(C60,customers!A:A,customers!C:C,"Not Found")</f>
        <v>Nashik</v>
      </c>
      <c r="O61" t="str">
        <f>IF(Sales_Data[[#This Row],[Total_Sales]]&gt;=50000,"High","Low")</f>
        <v>High</v>
      </c>
    </row>
    <row r="62" spans="1:15" x14ac:dyDescent="0.3">
      <c r="A62">
        <v>1061</v>
      </c>
      <c r="B62" s="4">
        <v>46032</v>
      </c>
      <c r="C62" t="s">
        <v>38</v>
      </c>
      <c r="D62" t="s">
        <v>60</v>
      </c>
      <c r="E62">
        <v>8</v>
      </c>
      <c r="F62">
        <v>22000</v>
      </c>
      <c r="G62" t="s">
        <v>75</v>
      </c>
      <c r="H62" t="s">
        <v>76</v>
      </c>
      <c r="I62" t="s">
        <v>81</v>
      </c>
      <c r="J62">
        <v>176000</v>
      </c>
      <c r="K62" t="str">
        <f>_xlfn.XLOOKUP(Sales_Data[[#This Row],[Product_ID]],products!A:A,products!B:B,"Not Found")</f>
        <v>Tablet</v>
      </c>
      <c r="L62" t="str">
        <f>_xlfn.XLOOKUP(Sales_Data[[#This Row],[Product_ID]],products!A:A,products!C:C,"Not Found")</f>
        <v>Electronics</v>
      </c>
      <c r="M62" t="str">
        <f>_xlfn.XLOOKUP(C62,customers!A:A,customers!B:B,"Not Found")</f>
        <v>Komal Pawar</v>
      </c>
      <c r="N62" t="str">
        <f>_xlfn.XLOOKUP(C61,customers!A:A,customers!C:C,"Not Found")</f>
        <v>Nashik</v>
      </c>
      <c r="O62" t="str">
        <f>IF(Sales_Data[[#This Row],[Total_Sales]]&gt;=50000,"High","Low")</f>
        <v>High</v>
      </c>
    </row>
    <row r="63" spans="1:15" x14ac:dyDescent="0.3">
      <c r="A63">
        <v>1062</v>
      </c>
      <c r="B63" s="4">
        <v>46081</v>
      </c>
      <c r="C63" t="s">
        <v>15</v>
      </c>
      <c r="D63" t="s">
        <v>58</v>
      </c>
      <c r="E63">
        <v>4</v>
      </c>
      <c r="F63">
        <v>12000</v>
      </c>
      <c r="G63" t="s">
        <v>78</v>
      </c>
      <c r="H63" t="s">
        <v>76</v>
      </c>
      <c r="I63" t="s">
        <v>81</v>
      </c>
      <c r="J63">
        <v>48000</v>
      </c>
      <c r="K63" t="str">
        <f>_xlfn.XLOOKUP(Sales_Data[[#This Row],[Product_ID]],products!A:A,products!B:B,"Not Found")</f>
        <v>Printer</v>
      </c>
      <c r="L63" t="str">
        <f>_xlfn.XLOOKUP(Sales_Data[[#This Row],[Product_ID]],products!A:A,products!C:C,"Not Found")</f>
        <v>Electronics</v>
      </c>
      <c r="M63" t="str">
        <f>_xlfn.XLOOKUP(C63,customers!A:A,customers!B:B,"Not Found")</f>
        <v>Rohit Singh</v>
      </c>
      <c r="N63" t="str">
        <f>_xlfn.XLOOKUP(C62,customers!A:A,customers!C:C,"Not Found")</f>
        <v>Indore</v>
      </c>
      <c r="O63" t="str">
        <f>IF(Sales_Data[[#This Row],[Total_Sales]]&gt;=50000,"High","Low")</f>
        <v>Low</v>
      </c>
    </row>
    <row r="64" spans="1:15" x14ac:dyDescent="0.3">
      <c r="A64">
        <v>1063</v>
      </c>
      <c r="B64" s="4">
        <v>46040</v>
      </c>
      <c r="C64" t="s">
        <v>15</v>
      </c>
      <c r="D64" t="s">
        <v>58</v>
      </c>
      <c r="E64">
        <v>5</v>
      </c>
      <c r="F64">
        <v>12000</v>
      </c>
      <c r="G64" t="s">
        <v>82</v>
      </c>
      <c r="H64" t="s">
        <v>84</v>
      </c>
      <c r="I64" t="s">
        <v>81</v>
      </c>
      <c r="J64">
        <v>60000</v>
      </c>
      <c r="K64" t="str">
        <f>_xlfn.XLOOKUP(Sales_Data[[#This Row],[Product_ID]],products!A:A,products!B:B,"Not Found")</f>
        <v>Printer</v>
      </c>
      <c r="L64" t="str">
        <f>_xlfn.XLOOKUP(Sales_Data[[#This Row],[Product_ID]],products!A:A,products!C:C,"Not Found")</f>
        <v>Electronics</v>
      </c>
      <c r="M64" t="str">
        <f>_xlfn.XLOOKUP(C64,customers!A:A,customers!B:B,"Not Found")</f>
        <v>Rohit Singh</v>
      </c>
      <c r="N64" t="str">
        <f>_xlfn.XLOOKUP(C63,customers!A:A,customers!C:C,"Not Found")</f>
        <v>Delhi</v>
      </c>
      <c r="O64" t="str">
        <f>IF(Sales_Data[[#This Row],[Total_Sales]]&gt;=50000,"High","Low")</f>
        <v>High</v>
      </c>
    </row>
    <row r="65" spans="1:15" x14ac:dyDescent="0.3">
      <c r="A65">
        <v>1064</v>
      </c>
      <c r="B65" s="4">
        <v>46030</v>
      </c>
      <c r="C65" t="s">
        <v>18</v>
      </c>
      <c r="D65" t="s">
        <v>64</v>
      </c>
      <c r="E65">
        <v>2</v>
      </c>
      <c r="F65">
        <v>900</v>
      </c>
      <c r="G65" t="s">
        <v>82</v>
      </c>
      <c r="H65" t="s">
        <v>76</v>
      </c>
      <c r="I65" t="s">
        <v>85</v>
      </c>
      <c r="J65">
        <v>1800</v>
      </c>
      <c r="K65" t="str">
        <f>_xlfn.XLOOKUP(Sales_Data[[#This Row],[Product_ID]],products!A:A,products!B:B,"Not Found")</f>
        <v>USB Drive</v>
      </c>
      <c r="L65" t="str">
        <f>_xlfn.XLOOKUP(Sales_Data[[#This Row],[Product_ID]],products!A:A,products!C:C,"Not Found")</f>
        <v>Accessories</v>
      </c>
      <c r="M65" t="str">
        <f>_xlfn.XLOOKUP(C65,customers!A:A,customers!B:B,"Not Found")</f>
        <v>Neha Gupta</v>
      </c>
      <c r="N65" t="str">
        <f>_xlfn.XLOOKUP(C64,customers!A:A,customers!C:C,"Not Found")</f>
        <v>Delhi</v>
      </c>
      <c r="O65" t="str">
        <f>IF(Sales_Data[[#This Row],[Total_Sales]]&gt;=50000,"High","Low")</f>
        <v>Low</v>
      </c>
    </row>
    <row r="66" spans="1:15" x14ac:dyDescent="0.3">
      <c r="A66">
        <v>1065</v>
      </c>
      <c r="B66" s="4">
        <v>46175</v>
      </c>
      <c r="C66" t="s">
        <v>6</v>
      </c>
      <c r="D66" t="s">
        <v>46</v>
      </c>
      <c r="E66">
        <v>7</v>
      </c>
      <c r="F66">
        <v>55000</v>
      </c>
      <c r="G66" t="s">
        <v>82</v>
      </c>
      <c r="H66" t="s">
        <v>83</v>
      </c>
      <c r="I66" t="s">
        <v>81</v>
      </c>
      <c r="J66">
        <v>385000</v>
      </c>
      <c r="K66" t="str">
        <f>_xlfn.XLOOKUP(Sales_Data[[#This Row],[Product_ID]],products!A:A,products!B:B,"Not Found")</f>
        <v>Laptop</v>
      </c>
      <c r="L66" t="str">
        <f>_xlfn.XLOOKUP(Sales_Data[[#This Row],[Product_ID]],products!A:A,products!C:C,"Not Found")</f>
        <v>Electronics</v>
      </c>
      <c r="M66" t="str">
        <f>_xlfn.XLOOKUP(C66,customers!A:A,customers!B:B,"Not Found")</f>
        <v>Priya Patil</v>
      </c>
      <c r="N66" t="str">
        <f>_xlfn.XLOOKUP(C65,customers!A:A,customers!C:C,"Not Found")</f>
        <v>Indore</v>
      </c>
      <c r="O66" t="str">
        <f>IF(Sales_Data[[#This Row],[Total_Sales]]&gt;=50000,"High","Low")</f>
        <v>High</v>
      </c>
    </row>
    <row r="67" spans="1:15" x14ac:dyDescent="0.3">
      <c r="A67">
        <v>1066</v>
      </c>
      <c r="B67" s="4">
        <v>46052</v>
      </c>
      <c r="C67" t="s">
        <v>27</v>
      </c>
      <c r="D67" t="s">
        <v>66</v>
      </c>
      <c r="E67">
        <v>7</v>
      </c>
      <c r="F67">
        <v>30000</v>
      </c>
      <c r="G67" t="s">
        <v>80</v>
      </c>
      <c r="H67" t="s">
        <v>76</v>
      </c>
      <c r="I67" t="s">
        <v>85</v>
      </c>
      <c r="J67">
        <v>210000</v>
      </c>
      <c r="K67" t="str">
        <f>_xlfn.XLOOKUP(Sales_Data[[#This Row],[Product_ID]],products!A:A,products!B:B,"Not Found")</f>
        <v>Smartphone</v>
      </c>
      <c r="L67" t="str">
        <f>_xlfn.XLOOKUP(Sales_Data[[#This Row],[Product_ID]],products!A:A,products!C:C,"Not Found")</f>
        <v>Electronics</v>
      </c>
      <c r="M67" t="str">
        <f>_xlfn.XLOOKUP(C67,customers!A:A,customers!B:B,"Not Found")</f>
        <v>Vikas Yadav</v>
      </c>
      <c r="N67" t="str">
        <f>_xlfn.XLOOKUP(C66,customers!A:A,customers!C:C,"Not Found")</f>
        <v>Pune</v>
      </c>
      <c r="O67" t="str">
        <f>IF(Sales_Data[[#This Row],[Total_Sales]]&gt;=50000,"High","Low")</f>
        <v>High</v>
      </c>
    </row>
    <row r="68" spans="1:15" x14ac:dyDescent="0.3">
      <c r="A68">
        <v>1067</v>
      </c>
      <c r="B68" s="4">
        <v>46134</v>
      </c>
      <c r="C68" t="s">
        <v>34</v>
      </c>
      <c r="D68" t="s">
        <v>46</v>
      </c>
      <c r="E68">
        <v>1</v>
      </c>
      <c r="F68">
        <v>55000</v>
      </c>
      <c r="G68" t="s">
        <v>80</v>
      </c>
      <c r="H68" t="s">
        <v>84</v>
      </c>
      <c r="I68" t="s">
        <v>87</v>
      </c>
      <c r="J68">
        <v>55000</v>
      </c>
      <c r="K68" t="str">
        <f>_xlfn.XLOOKUP(Sales_Data[[#This Row],[Product_ID]],products!A:A,products!B:B,"Not Found")</f>
        <v>Laptop</v>
      </c>
      <c r="L68" t="str">
        <f>_xlfn.XLOOKUP(Sales_Data[[#This Row],[Product_ID]],products!A:A,products!C:C,"Not Found")</f>
        <v>Electronics</v>
      </c>
      <c r="M68" t="str">
        <f>_xlfn.XLOOKUP(C68,customers!A:A,customers!B:B,"Not Found")</f>
        <v>Riya Shah</v>
      </c>
      <c r="N68" t="str">
        <f>_xlfn.XLOOKUP(C67,customers!A:A,customers!C:C,"Not Found")</f>
        <v>Thane</v>
      </c>
      <c r="O68" t="str">
        <f>IF(Sales_Data[[#This Row],[Total_Sales]]&gt;=50000,"High","Low")</f>
        <v>High</v>
      </c>
    </row>
    <row r="69" spans="1:15" x14ac:dyDescent="0.3">
      <c r="A69">
        <v>1068</v>
      </c>
      <c r="B69" s="4">
        <v>46040</v>
      </c>
      <c r="C69" t="s">
        <v>21</v>
      </c>
      <c r="D69" t="s">
        <v>58</v>
      </c>
      <c r="E69">
        <v>6</v>
      </c>
      <c r="F69">
        <v>12000</v>
      </c>
      <c r="G69" t="s">
        <v>80</v>
      </c>
      <c r="H69" t="s">
        <v>83</v>
      </c>
      <c r="I69" t="s">
        <v>77</v>
      </c>
      <c r="J69">
        <v>72000</v>
      </c>
      <c r="K69" t="str">
        <f>_xlfn.XLOOKUP(Sales_Data[[#This Row],[Product_ID]],products!A:A,products!B:B,"Not Found")</f>
        <v>Printer</v>
      </c>
      <c r="L69" t="str">
        <f>_xlfn.XLOOKUP(Sales_Data[[#This Row],[Product_ID]],products!A:A,products!C:C,"Not Found")</f>
        <v>Electronics</v>
      </c>
      <c r="M69" t="str">
        <f>_xlfn.XLOOKUP(C69,customers!A:A,customers!B:B,"Not Found")</f>
        <v>Karan Mehta</v>
      </c>
      <c r="N69" t="str">
        <f>_xlfn.XLOOKUP(C68,customers!A:A,customers!C:C,"Not Found")</f>
        <v>Mumbai</v>
      </c>
      <c r="O69" t="str">
        <f>IF(Sales_Data[[#This Row],[Total_Sales]]&gt;=50000,"High","Low")</f>
        <v>High</v>
      </c>
    </row>
    <row r="70" spans="1:15" x14ac:dyDescent="0.3">
      <c r="A70">
        <v>1069</v>
      </c>
      <c r="B70" s="4">
        <v>46102</v>
      </c>
      <c r="C70" t="s">
        <v>27</v>
      </c>
      <c r="D70" t="s">
        <v>56</v>
      </c>
      <c r="E70">
        <v>7</v>
      </c>
      <c r="F70">
        <v>3500</v>
      </c>
      <c r="G70" t="s">
        <v>82</v>
      </c>
      <c r="H70" t="s">
        <v>88</v>
      </c>
      <c r="I70" t="s">
        <v>85</v>
      </c>
      <c r="J70">
        <v>24500</v>
      </c>
      <c r="K70" t="str">
        <f>_xlfn.XLOOKUP(Sales_Data[[#This Row],[Product_ID]],products!A:A,products!B:B,"Not Found")</f>
        <v>Headphones</v>
      </c>
      <c r="L70" t="str">
        <f>_xlfn.XLOOKUP(Sales_Data[[#This Row],[Product_ID]],products!A:A,products!C:C,"Not Found")</f>
        <v>Accessories</v>
      </c>
      <c r="M70" t="str">
        <f>_xlfn.XLOOKUP(C70,customers!A:A,customers!B:B,"Not Found")</f>
        <v>Vikas Yadav</v>
      </c>
      <c r="N70" t="str">
        <f>_xlfn.XLOOKUP(C69,customers!A:A,customers!C:C,"Not Found")</f>
        <v>Bhopal</v>
      </c>
      <c r="O70" t="str">
        <f>IF(Sales_Data[[#This Row],[Total_Sales]]&gt;=50000,"High","Low")</f>
        <v>Low</v>
      </c>
    </row>
    <row r="71" spans="1:15" x14ac:dyDescent="0.3">
      <c r="A71">
        <v>1070</v>
      </c>
      <c r="B71" s="4">
        <v>46072</v>
      </c>
      <c r="C71" t="s">
        <v>9</v>
      </c>
      <c r="D71" t="s">
        <v>64</v>
      </c>
      <c r="E71">
        <v>7</v>
      </c>
      <c r="F71">
        <v>900</v>
      </c>
      <c r="G71" t="s">
        <v>86</v>
      </c>
      <c r="H71" t="s">
        <v>88</v>
      </c>
      <c r="I71" t="s">
        <v>87</v>
      </c>
      <c r="J71">
        <v>6300</v>
      </c>
      <c r="K71" t="str">
        <f>_xlfn.XLOOKUP(Sales_Data[[#This Row],[Product_ID]],products!A:A,products!B:B,"Not Found")</f>
        <v>USB Drive</v>
      </c>
      <c r="L71" t="str">
        <f>_xlfn.XLOOKUP(Sales_Data[[#This Row],[Product_ID]],products!A:A,products!C:C,"Not Found")</f>
        <v>Accessories</v>
      </c>
      <c r="M71" t="str">
        <f>_xlfn.XLOOKUP(C71,customers!A:A,customers!B:B,"Not Found")</f>
        <v>Amit Verma</v>
      </c>
      <c r="N71" t="str">
        <f>_xlfn.XLOOKUP(C70,customers!A:A,customers!C:C,"Not Found")</f>
        <v>Thane</v>
      </c>
      <c r="O71" t="str">
        <f>IF(Sales_Data[[#This Row],[Total_Sales]]&gt;=50000,"High","Low")</f>
        <v>Low</v>
      </c>
    </row>
    <row r="72" spans="1:15" x14ac:dyDescent="0.3">
      <c r="A72">
        <v>1071</v>
      </c>
      <c r="B72" s="4">
        <v>46100</v>
      </c>
      <c r="C72" t="s">
        <v>30</v>
      </c>
      <c r="D72" t="s">
        <v>66</v>
      </c>
      <c r="E72">
        <v>7</v>
      </c>
      <c r="F72">
        <v>30000</v>
      </c>
      <c r="G72" t="s">
        <v>80</v>
      </c>
      <c r="H72" t="s">
        <v>79</v>
      </c>
      <c r="I72" t="s">
        <v>85</v>
      </c>
      <c r="J72">
        <v>210000</v>
      </c>
      <c r="K72" t="str">
        <f>_xlfn.XLOOKUP(Sales_Data[[#This Row],[Product_ID]],products!A:A,products!B:B,"Not Found")</f>
        <v>Smartphone</v>
      </c>
      <c r="L72" t="str">
        <f>_xlfn.XLOOKUP(Sales_Data[[#This Row],[Product_ID]],products!A:A,products!C:C,"Not Found")</f>
        <v>Electronics</v>
      </c>
      <c r="M72" t="str">
        <f>_xlfn.XLOOKUP(C72,customers!A:A,customers!B:B,"Not Found")</f>
        <v>Anjali Kulkarni</v>
      </c>
      <c r="N72" t="str">
        <f>_xlfn.XLOOKUP(C71,customers!A:A,customers!C:C,"Not Found")</f>
        <v>Mumbai</v>
      </c>
      <c r="O72" t="str">
        <f>IF(Sales_Data[[#This Row],[Total_Sales]]&gt;=50000,"High","Low")</f>
        <v>High</v>
      </c>
    </row>
    <row r="73" spans="1:15" x14ac:dyDescent="0.3">
      <c r="A73">
        <v>1072</v>
      </c>
      <c r="B73" s="4">
        <v>46133</v>
      </c>
      <c r="C73" t="s">
        <v>12</v>
      </c>
      <c r="D73" t="s">
        <v>56</v>
      </c>
      <c r="E73">
        <v>6</v>
      </c>
      <c r="F73">
        <v>3500</v>
      </c>
      <c r="G73" t="s">
        <v>89</v>
      </c>
      <c r="H73" t="s">
        <v>88</v>
      </c>
      <c r="I73" t="s">
        <v>81</v>
      </c>
      <c r="J73">
        <v>21000</v>
      </c>
      <c r="K73" t="str">
        <f>_xlfn.XLOOKUP(Sales_Data[[#This Row],[Product_ID]],products!A:A,products!B:B,"Not Found")</f>
        <v>Headphones</v>
      </c>
      <c r="L73" t="str">
        <f>_xlfn.XLOOKUP(Sales_Data[[#This Row],[Product_ID]],products!A:A,products!C:C,"Not Found")</f>
        <v>Accessories</v>
      </c>
      <c r="M73" t="str">
        <f>_xlfn.XLOOKUP(C73,customers!A:A,customers!B:B,"Not Found")</f>
        <v>Sneha Joshi</v>
      </c>
      <c r="N73" t="str">
        <f>_xlfn.XLOOKUP(C72,customers!A:A,customers!C:C,"Not Found")</f>
        <v>Nagpur</v>
      </c>
      <c r="O73" t="str">
        <f>IF(Sales_Data[[#This Row],[Total_Sales]]&gt;=50000,"High","Low")</f>
        <v>Low</v>
      </c>
    </row>
    <row r="74" spans="1:15" x14ac:dyDescent="0.3">
      <c r="A74">
        <v>1073</v>
      </c>
      <c r="B74" s="4">
        <v>46144</v>
      </c>
      <c r="C74" t="s">
        <v>27</v>
      </c>
      <c r="D74" t="s">
        <v>54</v>
      </c>
      <c r="E74">
        <v>3</v>
      </c>
      <c r="F74">
        <v>15000</v>
      </c>
      <c r="G74" t="s">
        <v>86</v>
      </c>
      <c r="H74" t="s">
        <v>79</v>
      </c>
      <c r="I74" t="s">
        <v>85</v>
      </c>
      <c r="J74">
        <v>45000</v>
      </c>
      <c r="K74" t="str">
        <f>_xlfn.XLOOKUP(Sales_Data[[#This Row],[Product_ID]],products!A:A,products!B:B,"Not Found")</f>
        <v>Monitor</v>
      </c>
      <c r="L74" t="str">
        <f>_xlfn.XLOOKUP(Sales_Data[[#This Row],[Product_ID]],products!A:A,products!C:C,"Not Found")</f>
        <v>Electronics</v>
      </c>
      <c r="M74" t="str">
        <f>_xlfn.XLOOKUP(C74,customers!A:A,customers!B:B,"Not Found")</f>
        <v>Vikas Yadav</v>
      </c>
      <c r="N74" t="str">
        <f>_xlfn.XLOOKUP(C73,customers!A:A,customers!C:C,"Not Found")</f>
        <v>Nashik</v>
      </c>
      <c r="O74" t="str">
        <f>IF(Sales_Data[[#This Row],[Total_Sales]]&gt;=50000,"High","Low")</f>
        <v>Low</v>
      </c>
    </row>
    <row r="75" spans="1:15" x14ac:dyDescent="0.3">
      <c r="A75">
        <v>1074</v>
      </c>
      <c r="B75" s="4">
        <v>46185</v>
      </c>
      <c r="C75" t="s">
        <v>32</v>
      </c>
      <c r="D75" t="s">
        <v>64</v>
      </c>
      <c r="E75">
        <v>6</v>
      </c>
      <c r="F75">
        <v>900</v>
      </c>
      <c r="G75" t="s">
        <v>78</v>
      </c>
      <c r="H75" t="s">
        <v>76</v>
      </c>
      <c r="I75" t="s">
        <v>85</v>
      </c>
      <c r="J75">
        <v>5400</v>
      </c>
      <c r="K75" t="str">
        <f>_xlfn.XLOOKUP(Sales_Data[[#This Row],[Product_ID]],products!A:A,products!B:B,"Not Found")</f>
        <v>USB Drive</v>
      </c>
      <c r="L75" t="str">
        <f>_xlfn.XLOOKUP(Sales_Data[[#This Row],[Product_ID]],products!A:A,products!C:C,"Not Found")</f>
        <v>Accessories</v>
      </c>
      <c r="M75" t="str">
        <f>_xlfn.XLOOKUP(C75,customers!A:A,customers!B:B,"Not Found")</f>
        <v>Sahil Khan</v>
      </c>
      <c r="N75" t="str">
        <f>_xlfn.XLOOKUP(C74,customers!A:A,customers!C:C,"Not Found")</f>
        <v>Thane</v>
      </c>
      <c r="O75" t="str">
        <f>IF(Sales_Data[[#This Row],[Total_Sales]]&gt;=50000,"High","Low")</f>
        <v>Low</v>
      </c>
    </row>
    <row r="76" spans="1:15" x14ac:dyDescent="0.3">
      <c r="A76">
        <v>1075</v>
      </c>
      <c r="B76" s="4">
        <v>46073</v>
      </c>
      <c r="C76" t="s">
        <v>36</v>
      </c>
      <c r="D76" t="s">
        <v>54</v>
      </c>
      <c r="E76">
        <v>3</v>
      </c>
      <c r="F76">
        <v>15000</v>
      </c>
      <c r="G76" t="s">
        <v>78</v>
      </c>
      <c r="H76" t="s">
        <v>79</v>
      </c>
      <c r="I76" t="s">
        <v>87</v>
      </c>
      <c r="J76">
        <v>45000</v>
      </c>
      <c r="K76" t="str">
        <f>_xlfn.XLOOKUP(Sales_Data[[#This Row],[Product_ID]],products!A:A,products!B:B,"Not Found")</f>
        <v>Monitor</v>
      </c>
      <c r="L76" t="str">
        <f>_xlfn.XLOOKUP(Sales_Data[[#This Row],[Product_ID]],products!A:A,products!C:C,"Not Found")</f>
        <v>Electronics</v>
      </c>
      <c r="M76" t="str">
        <f>_xlfn.XLOOKUP(C76,customers!A:A,customers!B:B,"Not Found")</f>
        <v>Akash Jain</v>
      </c>
      <c r="N76" t="str">
        <f>_xlfn.XLOOKUP(C75,customers!A:A,customers!C:C,"Not Found")</f>
        <v>Pune</v>
      </c>
      <c r="O76" t="str">
        <f>IF(Sales_Data[[#This Row],[Total_Sales]]&gt;=50000,"High","Low")</f>
        <v>Low</v>
      </c>
    </row>
    <row r="77" spans="1:15" x14ac:dyDescent="0.3">
      <c r="A77">
        <v>1076</v>
      </c>
      <c r="B77" s="4">
        <v>46041</v>
      </c>
      <c r="C77" t="s">
        <v>30</v>
      </c>
      <c r="D77" t="s">
        <v>62</v>
      </c>
      <c r="E77">
        <v>8</v>
      </c>
      <c r="F77">
        <v>3000</v>
      </c>
      <c r="G77" t="s">
        <v>89</v>
      </c>
      <c r="H77" t="s">
        <v>84</v>
      </c>
      <c r="I77" t="s">
        <v>87</v>
      </c>
      <c r="J77">
        <v>24000</v>
      </c>
      <c r="K77" t="str">
        <f>_xlfn.XLOOKUP(Sales_Data[[#This Row],[Product_ID]],products!A:A,products!B:B,"Not Found")</f>
        <v>Webcam</v>
      </c>
      <c r="L77" t="str">
        <f>_xlfn.XLOOKUP(Sales_Data[[#This Row],[Product_ID]],products!A:A,products!C:C,"Not Found")</f>
        <v>Accessories</v>
      </c>
      <c r="M77" t="str">
        <f>_xlfn.XLOOKUP(C77,customers!A:A,customers!B:B,"Not Found")</f>
        <v>Anjali Kulkarni</v>
      </c>
      <c r="N77" t="str">
        <f>_xlfn.XLOOKUP(C76,customers!A:A,customers!C:C,"Not Found")</f>
        <v>Nashik</v>
      </c>
      <c r="O77" t="str">
        <f>IF(Sales_Data[[#This Row],[Total_Sales]]&gt;=50000,"High","Low")</f>
        <v>Low</v>
      </c>
    </row>
    <row r="78" spans="1:15" x14ac:dyDescent="0.3">
      <c r="A78">
        <v>1077</v>
      </c>
      <c r="B78" s="4">
        <v>46125</v>
      </c>
      <c r="C78" t="s">
        <v>24</v>
      </c>
      <c r="D78" t="s">
        <v>60</v>
      </c>
      <c r="E78">
        <v>4</v>
      </c>
      <c r="F78">
        <v>22000</v>
      </c>
      <c r="G78" t="s">
        <v>75</v>
      </c>
      <c r="H78" t="s">
        <v>79</v>
      </c>
      <c r="I78" t="s">
        <v>77</v>
      </c>
      <c r="J78">
        <v>88000</v>
      </c>
      <c r="K78" t="str">
        <f>_xlfn.XLOOKUP(Sales_Data[[#This Row],[Product_ID]],products!A:A,products!B:B,"Not Found")</f>
        <v>Tablet</v>
      </c>
      <c r="L78" t="str">
        <f>_xlfn.XLOOKUP(Sales_Data[[#This Row],[Product_ID]],products!A:A,products!C:C,"Not Found")</f>
        <v>Electronics</v>
      </c>
      <c r="M78" t="str">
        <f>_xlfn.XLOOKUP(C78,customers!A:A,customers!B:B,"Not Found")</f>
        <v>Pooja Deshmukh</v>
      </c>
      <c r="N78" t="str">
        <f>_xlfn.XLOOKUP(C77,customers!A:A,customers!C:C,"Not Found")</f>
        <v>Nagpur</v>
      </c>
      <c r="O78" t="str">
        <f>IF(Sales_Data[[#This Row],[Total_Sales]]&gt;=50000,"High","Low")</f>
        <v>High</v>
      </c>
    </row>
    <row r="79" spans="1:15" x14ac:dyDescent="0.3">
      <c r="A79">
        <v>1078</v>
      </c>
      <c r="B79" s="4">
        <v>46068</v>
      </c>
      <c r="C79" t="s">
        <v>12</v>
      </c>
      <c r="D79" t="s">
        <v>60</v>
      </c>
      <c r="E79">
        <v>8</v>
      </c>
      <c r="F79">
        <v>22000</v>
      </c>
      <c r="G79" t="s">
        <v>78</v>
      </c>
      <c r="H79" t="s">
        <v>84</v>
      </c>
      <c r="I79" t="s">
        <v>87</v>
      </c>
      <c r="J79">
        <v>176000</v>
      </c>
      <c r="K79" t="str">
        <f>_xlfn.XLOOKUP(Sales_Data[[#This Row],[Product_ID]],products!A:A,products!B:B,"Not Found")</f>
        <v>Tablet</v>
      </c>
      <c r="L79" t="str">
        <f>_xlfn.XLOOKUP(Sales_Data[[#This Row],[Product_ID]],products!A:A,products!C:C,"Not Found")</f>
        <v>Electronics</v>
      </c>
      <c r="M79" t="str">
        <f>_xlfn.XLOOKUP(C79,customers!A:A,customers!B:B,"Not Found")</f>
        <v>Sneha Joshi</v>
      </c>
      <c r="N79" t="str">
        <f>_xlfn.XLOOKUP(C78,customers!A:A,customers!C:C,"Not Found")</f>
        <v>Aurangabad</v>
      </c>
      <c r="O79" t="str">
        <f>IF(Sales_Data[[#This Row],[Total_Sales]]&gt;=50000,"High","Low")</f>
        <v>High</v>
      </c>
    </row>
    <row r="80" spans="1:15" x14ac:dyDescent="0.3">
      <c r="A80">
        <v>1079</v>
      </c>
      <c r="B80" s="4">
        <v>46057</v>
      </c>
      <c r="C80" t="s">
        <v>24</v>
      </c>
      <c r="D80" t="s">
        <v>49</v>
      </c>
      <c r="E80">
        <v>8</v>
      </c>
      <c r="F80">
        <v>2500</v>
      </c>
      <c r="G80" t="s">
        <v>86</v>
      </c>
      <c r="H80" t="s">
        <v>84</v>
      </c>
      <c r="I80" t="s">
        <v>85</v>
      </c>
      <c r="J80">
        <v>20000</v>
      </c>
      <c r="K80" t="str">
        <f>_xlfn.XLOOKUP(Sales_Data[[#This Row],[Product_ID]],products!A:A,products!B:B,"Not Found")</f>
        <v>Keyboard</v>
      </c>
      <c r="L80" t="str">
        <f>_xlfn.XLOOKUP(Sales_Data[[#This Row],[Product_ID]],products!A:A,products!C:C,"Not Found")</f>
        <v>Accessories</v>
      </c>
      <c r="M80" t="str">
        <f>_xlfn.XLOOKUP(C80,customers!A:A,customers!B:B,"Not Found")</f>
        <v>Pooja Deshmukh</v>
      </c>
      <c r="N80" t="str">
        <f>_xlfn.XLOOKUP(C79,customers!A:A,customers!C:C,"Not Found")</f>
        <v>Nashik</v>
      </c>
      <c r="O80" t="str">
        <f>IF(Sales_Data[[#This Row],[Total_Sales]]&gt;=50000,"High","Low")</f>
        <v>Low</v>
      </c>
    </row>
    <row r="81" spans="1:15" x14ac:dyDescent="0.3">
      <c r="A81">
        <v>1080</v>
      </c>
      <c r="B81" s="4">
        <v>46152</v>
      </c>
      <c r="C81" t="s">
        <v>30</v>
      </c>
      <c r="D81" t="s">
        <v>62</v>
      </c>
      <c r="E81">
        <v>7</v>
      </c>
      <c r="F81">
        <v>3000</v>
      </c>
      <c r="G81" t="s">
        <v>80</v>
      </c>
      <c r="H81" t="s">
        <v>88</v>
      </c>
      <c r="I81" t="s">
        <v>87</v>
      </c>
      <c r="J81">
        <v>21000</v>
      </c>
      <c r="K81" t="str">
        <f>_xlfn.XLOOKUP(Sales_Data[[#This Row],[Product_ID]],products!A:A,products!B:B,"Not Found")</f>
        <v>Webcam</v>
      </c>
      <c r="L81" t="str">
        <f>_xlfn.XLOOKUP(Sales_Data[[#This Row],[Product_ID]],products!A:A,products!C:C,"Not Found")</f>
        <v>Accessories</v>
      </c>
      <c r="M81" t="str">
        <f>_xlfn.XLOOKUP(C81,customers!A:A,customers!B:B,"Not Found")</f>
        <v>Anjali Kulkarni</v>
      </c>
      <c r="N81" t="str">
        <f>_xlfn.XLOOKUP(C80,customers!A:A,customers!C:C,"Not Found")</f>
        <v>Aurangabad</v>
      </c>
      <c r="O81" t="str">
        <f>IF(Sales_Data[[#This Row],[Total_Sales]]&gt;=50000,"High","Low")</f>
        <v>Low</v>
      </c>
    </row>
    <row r="82" spans="1:15" x14ac:dyDescent="0.3">
      <c r="A82">
        <v>1081</v>
      </c>
      <c r="B82" s="4">
        <v>46089</v>
      </c>
      <c r="C82" t="s">
        <v>24</v>
      </c>
      <c r="D82" t="s">
        <v>62</v>
      </c>
      <c r="E82">
        <v>4</v>
      </c>
      <c r="F82">
        <v>3000</v>
      </c>
      <c r="G82" t="s">
        <v>86</v>
      </c>
      <c r="H82" t="s">
        <v>83</v>
      </c>
      <c r="I82" t="s">
        <v>81</v>
      </c>
      <c r="J82">
        <v>12000</v>
      </c>
      <c r="K82" t="str">
        <f>_xlfn.XLOOKUP(Sales_Data[[#This Row],[Product_ID]],products!A:A,products!B:B,"Not Found")</f>
        <v>Webcam</v>
      </c>
      <c r="L82" t="str">
        <f>_xlfn.XLOOKUP(Sales_Data[[#This Row],[Product_ID]],products!A:A,products!C:C,"Not Found")</f>
        <v>Accessories</v>
      </c>
      <c r="M82" t="str">
        <f>_xlfn.XLOOKUP(C82,customers!A:A,customers!B:B,"Not Found")</f>
        <v>Pooja Deshmukh</v>
      </c>
      <c r="N82" t="str">
        <f>_xlfn.XLOOKUP(C81,customers!A:A,customers!C:C,"Not Found")</f>
        <v>Nagpur</v>
      </c>
      <c r="O82" t="str">
        <f>IF(Sales_Data[[#This Row],[Total_Sales]]&gt;=50000,"High","Low")</f>
        <v>Low</v>
      </c>
    </row>
    <row r="83" spans="1:15" x14ac:dyDescent="0.3">
      <c r="A83">
        <v>1082</v>
      </c>
      <c r="B83" s="4">
        <v>46135</v>
      </c>
      <c r="C83" t="s">
        <v>15</v>
      </c>
      <c r="D83" t="s">
        <v>54</v>
      </c>
      <c r="E83">
        <v>2</v>
      </c>
      <c r="F83">
        <v>15000</v>
      </c>
      <c r="G83" t="s">
        <v>86</v>
      </c>
      <c r="H83" t="s">
        <v>83</v>
      </c>
      <c r="I83" t="s">
        <v>87</v>
      </c>
      <c r="J83">
        <v>30000</v>
      </c>
      <c r="K83" t="str">
        <f>_xlfn.XLOOKUP(Sales_Data[[#This Row],[Product_ID]],products!A:A,products!B:B,"Not Found")</f>
        <v>Monitor</v>
      </c>
      <c r="L83" t="str">
        <f>_xlfn.XLOOKUP(Sales_Data[[#This Row],[Product_ID]],products!A:A,products!C:C,"Not Found")</f>
        <v>Electronics</v>
      </c>
      <c r="M83" t="str">
        <f>_xlfn.XLOOKUP(C83,customers!A:A,customers!B:B,"Not Found")</f>
        <v>Rohit Singh</v>
      </c>
      <c r="N83" t="str">
        <f>_xlfn.XLOOKUP(C82,customers!A:A,customers!C:C,"Not Found")</f>
        <v>Aurangabad</v>
      </c>
      <c r="O83" t="str">
        <f>IF(Sales_Data[[#This Row],[Total_Sales]]&gt;=50000,"High","Low")</f>
        <v>Low</v>
      </c>
    </row>
    <row r="84" spans="1:15" x14ac:dyDescent="0.3">
      <c r="A84">
        <v>1083</v>
      </c>
      <c r="B84" s="4">
        <v>46104</v>
      </c>
      <c r="C84" t="s">
        <v>18</v>
      </c>
      <c r="D84" t="s">
        <v>56</v>
      </c>
      <c r="E84">
        <v>2</v>
      </c>
      <c r="F84">
        <v>3500</v>
      </c>
      <c r="G84" t="s">
        <v>75</v>
      </c>
      <c r="H84" t="s">
        <v>76</v>
      </c>
      <c r="I84" t="s">
        <v>87</v>
      </c>
      <c r="J84">
        <v>7000</v>
      </c>
      <c r="K84" t="str">
        <f>_xlfn.XLOOKUP(Sales_Data[[#This Row],[Product_ID]],products!A:A,products!B:B,"Not Found")</f>
        <v>Headphones</v>
      </c>
      <c r="L84" t="str">
        <f>_xlfn.XLOOKUP(Sales_Data[[#This Row],[Product_ID]],products!A:A,products!C:C,"Not Found")</f>
        <v>Accessories</v>
      </c>
      <c r="M84" t="str">
        <f>_xlfn.XLOOKUP(C84,customers!A:A,customers!B:B,"Not Found")</f>
        <v>Neha Gupta</v>
      </c>
      <c r="N84" t="str">
        <f>_xlfn.XLOOKUP(C83,customers!A:A,customers!C:C,"Not Found")</f>
        <v>Delhi</v>
      </c>
      <c r="O84" t="str">
        <f>IF(Sales_Data[[#This Row],[Total_Sales]]&gt;=50000,"High","Low")</f>
        <v>Low</v>
      </c>
    </row>
    <row r="85" spans="1:15" x14ac:dyDescent="0.3">
      <c r="A85">
        <v>1084</v>
      </c>
      <c r="B85" s="4">
        <v>46062</v>
      </c>
      <c r="C85" t="s">
        <v>34</v>
      </c>
      <c r="D85" t="s">
        <v>60</v>
      </c>
      <c r="E85">
        <v>4</v>
      </c>
      <c r="F85">
        <v>22000</v>
      </c>
      <c r="G85" t="s">
        <v>78</v>
      </c>
      <c r="H85" t="s">
        <v>88</v>
      </c>
      <c r="I85" t="s">
        <v>81</v>
      </c>
      <c r="J85">
        <v>88000</v>
      </c>
      <c r="K85" t="str">
        <f>_xlfn.XLOOKUP(Sales_Data[[#This Row],[Product_ID]],products!A:A,products!B:B,"Not Found")</f>
        <v>Tablet</v>
      </c>
      <c r="L85" t="str">
        <f>_xlfn.XLOOKUP(Sales_Data[[#This Row],[Product_ID]],products!A:A,products!C:C,"Not Found")</f>
        <v>Electronics</v>
      </c>
      <c r="M85" t="str">
        <f>_xlfn.XLOOKUP(C85,customers!A:A,customers!B:B,"Not Found")</f>
        <v>Riya Shah</v>
      </c>
      <c r="N85" t="str">
        <f>_xlfn.XLOOKUP(C84,customers!A:A,customers!C:C,"Not Found")</f>
        <v>Indore</v>
      </c>
      <c r="O85" t="str">
        <f>IF(Sales_Data[[#This Row],[Total_Sales]]&gt;=50000,"High","Low")</f>
        <v>High</v>
      </c>
    </row>
    <row r="86" spans="1:15" x14ac:dyDescent="0.3">
      <c r="A86">
        <v>1085</v>
      </c>
      <c r="B86" s="4">
        <v>46142</v>
      </c>
      <c r="C86" t="s">
        <v>27</v>
      </c>
      <c r="D86" t="s">
        <v>58</v>
      </c>
      <c r="E86">
        <v>7</v>
      </c>
      <c r="F86">
        <v>12000</v>
      </c>
      <c r="G86" t="s">
        <v>78</v>
      </c>
      <c r="H86" t="s">
        <v>76</v>
      </c>
      <c r="I86" t="s">
        <v>81</v>
      </c>
      <c r="J86">
        <v>84000</v>
      </c>
      <c r="K86" t="str">
        <f>_xlfn.XLOOKUP(Sales_Data[[#This Row],[Product_ID]],products!A:A,products!B:B,"Not Found")</f>
        <v>Printer</v>
      </c>
      <c r="L86" t="str">
        <f>_xlfn.XLOOKUP(Sales_Data[[#This Row],[Product_ID]],products!A:A,products!C:C,"Not Found")</f>
        <v>Electronics</v>
      </c>
      <c r="M86" t="str">
        <f>_xlfn.XLOOKUP(C86,customers!A:A,customers!B:B,"Not Found")</f>
        <v>Vikas Yadav</v>
      </c>
      <c r="N86" t="str">
        <f>_xlfn.XLOOKUP(C85,customers!A:A,customers!C:C,"Not Found")</f>
        <v>Mumbai</v>
      </c>
      <c r="O86" t="str">
        <f>IF(Sales_Data[[#This Row],[Total_Sales]]&gt;=50000,"High","Low")</f>
        <v>High</v>
      </c>
    </row>
    <row r="87" spans="1:15" x14ac:dyDescent="0.3">
      <c r="A87">
        <v>1086</v>
      </c>
      <c r="B87" s="4">
        <v>46172</v>
      </c>
      <c r="C87" t="s">
        <v>40</v>
      </c>
      <c r="D87" t="s">
        <v>60</v>
      </c>
      <c r="E87">
        <v>1</v>
      </c>
      <c r="F87">
        <v>22000</v>
      </c>
      <c r="G87" t="s">
        <v>80</v>
      </c>
      <c r="H87" t="s">
        <v>88</v>
      </c>
      <c r="I87" t="s">
        <v>81</v>
      </c>
      <c r="J87">
        <v>22000</v>
      </c>
      <c r="K87" t="str">
        <f>_xlfn.XLOOKUP(Sales_Data[[#This Row],[Product_ID]],products!A:A,products!B:B,"Not Found")</f>
        <v>Tablet</v>
      </c>
      <c r="L87" t="str">
        <f>_xlfn.XLOOKUP(Sales_Data[[#This Row],[Product_ID]],products!A:A,products!C:C,"Not Found")</f>
        <v>Electronics</v>
      </c>
      <c r="M87" t="str">
        <f>_xlfn.XLOOKUP(C87,customers!A:A,customers!B:B,"Not Found")</f>
        <v>Nitin More</v>
      </c>
      <c r="N87" t="str">
        <f>_xlfn.XLOOKUP(C86,customers!A:A,customers!C:C,"Not Found")</f>
        <v>Thane</v>
      </c>
      <c r="O87" t="str">
        <f>IF(Sales_Data[[#This Row],[Total_Sales]]&gt;=50000,"High","Low")</f>
        <v>Low</v>
      </c>
    </row>
    <row r="88" spans="1:15" x14ac:dyDescent="0.3">
      <c r="A88">
        <v>1087</v>
      </c>
      <c r="B88" s="4">
        <v>46099</v>
      </c>
      <c r="C88" t="s">
        <v>18</v>
      </c>
      <c r="D88" t="s">
        <v>46</v>
      </c>
      <c r="E88">
        <v>7</v>
      </c>
      <c r="F88">
        <v>55000</v>
      </c>
      <c r="G88" t="s">
        <v>89</v>
      </c>
      <c r="H88" t="s">
        <v>84</v>
      </c>
      <c r="I88" t="s">
        <v>87</v>
      </c>
      <c r="J88">
        <v>385000</v>
      </c>
      <c r="K88" t="str">
        <f>_xlfn.XLOOKUP(Sales_Data[[#This Row],[Product_ID]],products!A:A,products!B:B,"Not Found")</f>
        <v>Laptop</v>
      </c>
      <c r="L88" t="str">
        <f>_xlfn.XLOOKUP(Sales_Data[[#This Row],[Product_ID]],products!A:A,products!C:C,"Not Found")</f>
        <v>Electronics</v>
      </c>
      <c r="M88" t="str">
        <f>_xlfn.XLOOKUP(C88,customers!A:A,customers!B:B,"Not Found")</f>
        <v>Neha Gupta</v>
      </c>
      <c r="N88" t="str">
        <f>_xlfn.XLOOKUP(C87,customers!A:A,customers!C:C,"Not Found")</f>
        <v>Nagpur</v>
      </c>
      <c r="O88" t="str">
        <f>IF(Sales_Data[[#This Row],[Total_Sales]]&gt;=50000,"High","Low")</f>
        <v>High</v>
      </c>
    </row>
    <row r="89" spans="1:15" x14ac:dyDescent="0.3">
      <c r="A89">
        <v>1088</v>
      </c>
      <c r="B89" s="4">
        <v>46092</v>
      </c>
      <c r="C89" t="s">
        <v>12</v>
      </c>
      <c r="D89" t="s">
        <v>62</v>
      </c>
      <c r="E89">
        <v>7</v>
      </c>
      <c r="F89">
        <v>3000</v>
      </c>
      <c r="G89" t="s">
        <v>89</v>
      </c>
      <c r="H89" t="s">
        <v>79</v>
      </c>
      <c r="I89" t="s">
        <v>81</v>
      </c>
      <c r="J89">
        <v>21000</v>
      </c>
      <c r="K89" t="str">
        <f>_xlfn.XLOOKUP(Sales_Data[[#This Row],[Product_ID]],products!A:A,products!B:B,"Not Found")</f>
        <v>Webcam</v>
      </c>
      <c r="L89" t="str">
        <f>_xlfn.XLOOKUP(Sales_Data[[#This Row],[Product_ID]],products!A:A,products!C:C,"Not Found")</f>
        <v>Accessories</v>
      </c>
      <c r="M89" t="str">
        <f>_xlfn.XLOOKUP(C89,customers!A:A,customers!B:B,"Not Found")</f>
        <v>Sneha Joshi</v>
      </c>
      <c r="N89" t="str">
        <f>_xlfn.XLOOKUP(C88,customers!A:A,customers!C:C,"Not Found")</f>
        <v>Indore</v>
      </c>
      <c r="O89" t="str">
        <f>IF(Sales_Data[[#This Row],[Total_Sales]]&gt;=50000,"High","Low")</f>
        <v>Low</v>
      </c>
    </row>
    <row r="90" spans="1:15" x14ac:dyDescent="0.3">
      <c r="A90">
        <v>1089</v>
      </c>
      <c r="B90" s="4">
        <v>46196</v>
      </c>
      <c r="C90" t="s">
        <v>32</v>
      </c>
      <c r="D90" t="s">
        <v>58</v>
      </c>
      <c r="E90">
        <v>7</v>
      </c>
      <c r="F90">
        <v>12000</v>
      </c>
      <c r="G90" t="s">
        <v>86</v>
      </c>
      <c r="H90" t="s">
        <v>76</v>
      </c>
      <c r="I90" t="s">
        <v>81</v>
      </c>
      <c r="J90">
        <v>84000</v>
      </c>
      <c r="K90" t="str">
        <f>_xlfn.XLOOKUP(Sales_Data[[#This Row],[Product_ID]],products!A:A,products!B:B,"Not Found")</f>
        <v>Printer</v>
      </c>
      <c r="L90" t="str">
        <f>_xlfn.XLOOKUP(Sales_Data[[#This Row],[Product_ID]],products!A:A,products!C:C,"Not Found")</f>
        <v>Electronics</v>
      </c>
      <c r="M90" t="str">
        <f>_xlfn.XLOOKUP(C90,customers!A:A,customers!B:B,"Not Found")</f>
        <v>Sahil Khan</v>
      </c>
      <c r="N90" t="str">
        <f>_xlfn.XLOOKUP(C89,customers!A:A,customers!C:C,"Not Found")</f>
        <v>Nashik</v>
      </c>
      <c r="O90" t="str">
        <f>IF(Sales_Data[[#This Row],[Total_Sales]]&gt;=50000,"High","Low")</f>
        <v>High</v>
      </c>
    </row>
    <row r="91" spans="1:15" x14ac:dyDescent="0.3">
      <c r="A91">
        <v>1090</v>
      </c>
      <c r="B91" s="4">
        <v>46159</v>
      </c>
      <c r="C91" t="s">
        <v>30</v>
      </c>
      <c r="D91" t="s">
        <v>52</v>
      </c>
      <c r="E91">
        <v>1</v>
      </c>
      <c r="F91">
        <v>800</v>
      </c>
      <c r="G91" t="s">
        <v>89</v>
      </c>
      <c r="H91" t="s">
        <v>84</v>
      </c>
      <c r="I91" t="s">
        <v>77</v>
      </c>
      <c r="J91">
        <v>800</v>
      </c>
      <c r="K91" t="str">
        <f>_xlfn.XLOOKUP(Sales_Data[[#This Row],[Product_ID]],products!A:A,products!B:B,"Not Found")</f>
        <v>Mouse</v>
      </c>
      <c r="L91" t="str">
        <f>_xlfn.XLOOKUP(Sales_Data[[#This Row],[Product_ID]],products!A:A,products!C:C,"Not Found")</f>
        <v>Accessories</v>
      </c>
      <c r="M91" t="str">
        <f>_xlfn.XLOOKUP(C91,customers!A:A,customers!B:B,"Not Found")</f>
        <v>Anjali Kulkarni</v>
      </c>
      <c r="N91" t="str">
        <f>_xlfn.XLOOKUP(C90,customers!A:A,customers!C:C,"Not Found")</f>
        <v>Pune</v>
      </c>
      <c r="O91" t="str">
        <f>IF(Sales_Data[[#This Row],[Total_Sales]]&gt;=50000,"High","Low")</f>
        <v>Low</v>
      </c>
    </row>
    <row r="92" spans="1:15" x14ac:dyDescent="0.3">
      <c r="A92">
        <v>1091</v>
      </c>
      <c r="B92" s="4">
        <v>46132</v>
      </c>
      <c r="C92" t="s">
        <v>32</v>
      </c>
      <c r="D92" t="s">
        <v>49</v>
      </c>
      <c r="E92">
        <v>3</v>
      </c>
      <c r="F92">
        <v>2500</v>
      </c>
      <c r="G92" t="s">
        <v>89</v>
      </c>
      <c r="H92" t="s">
        <v>76</v>
      </c>
      <c r="I92" t="s">
        <v>77</v>
      </c>
      <c r="J92">
        <v>7500</v>
      </c>
      <c r="K92" t="str">
        <f>_xlfn.XLOOKUP(Sales_Data[[#This Row],[Product_ID]],products!A:A,products!B:B,"Not Found")</f>
        <v>Keyboard</v>
      </c>
      <c r="L92" t="str">
        <f>_xlfn.XLOOKUP(Sales_Data[[#This Row],[Product_ID]],products!A:A,products!C:C,"Not Found")</f>
        <v>Accessories</v>
      </c>
      <c r="M92" t="str">
        <f>_xlfn.XLOOKUP(C92,customers!A:A,customers!B:B,"Not Found")</f>
        <v>Sahil Khan</v>
      </c>
      <c r="N92" t="str">
        <f>_xlfn.XLOOKUP(C91,customers!A:A,customers!C:C,"Not Found")</f>
        <v>Nagpur</v>
      </c>
      <c r="O92" t="str">
        <f>IF(Sales_Data[[#This Row],[Total_Sales]]&gt;=50000,"High","Low")</f>
        <v>Low</v>
      </c>
    </row>
    <row r="93" spans="1:15" x14ac:dyDescent="0.3">
      <c r="A93">
        <v>1092</v>
      </c>
      <c r="B93" s="4">
        <v>46106</v>
      </c>
      <c r="C93" t="s">
        <v>21</v>
      </c>
      <c r="D93" t="s">
        <v>56</v>
      </c>
      <c r="E93">
        <v>4</v>
      </c>
      <c r="F93">
        <v>3500</v>
      </c>
      <c r="G93" t="s">
        <v>89</v>
      </c>
      <c r="H93" t="s">
        <v>83</v>
      </c>
      <c r="I93" t="s">
        <v>85</v>
      </c>
      <c r="J93">
        <v>14000</v>
      </c>
      <c r="K93" t="str">
        <f>_xlfn.XLOOKUP(Sales_Data[[#This Row],[Product_ID]],products!A:A,products!B:B,"Not Found")</f>
        <v>Headphones</v>
      </c>
      <c r="L93" t="str">
        <f>_xlfn.XLOOKUP(Sales_Data[[#This Row],[Product_ID]],products!A:A,products!C:C,"Not Found")</f>
        <v>Accessories</v>
      </c>
      <c r="M93" t="str">
        <f>_xlfn.XLOOKUP(C93,customers!A:A,customers!B:B,"Not Found")</f>
        <v>Karan Mehta</v>
      </c>
      <c r="N93" t="str">
        <f>_xlfn.XLOOKUP(C92,customers!A:A,customers!C:C,"Not Found")</f>
        <v>Pune</v>
      </c>
      <c r="O93" t="str">
        <f>IF(Sales_Data[[#This Row],[Total_Sales]]&gt;=50000,"High","Low")</f>
        <v>Low</v>
      </c>
    </row>
    <row r="94" spans="1:15" x14ac:dyDescent="0.3">
      <c r="A94">
        <v>1093</v>
      </c>
      <c r="B94" s="4">
        <v>46130</v>
      </c>
      <c r="C94" t="s">
        <v>15</v>
      </c>
      <c r="D94" t="s">
        <v>60</v>
      </c>
      <c r="E94">
        <v>5</v>
      </c>
      <c r="F94">
        <v>22000</v>
      </c>
      <c r="G94" t="s">
        <v>78</v>
      </c>
      <c r="H94" t="s">
        <v>88</v>
      </c>
      <c r="I94" t="s">
        <v>77</v>
      </c>
      <c r="J94">
        <v>110000</v>
      </c>
      <c r="K94" t="str">
        <f>_xlfn.XLOOKUP(Sales_Data[[#This Row],[Product_ID]],products!A:A,products!B:B,"Not Found")</f>
        <v>Tablet</v>
      </c>
      <c r="L94" t="str">
        <f>_xlfn.XLOOKUP(Sales_Data[[#This Row],[Product_ID]],products!A:A,products!C:C,"Not Found")</f>
        <v>Electronics</v>
      </c>
      <c r="M94" t="str">
        <f>_xlfn.XLOOKUP(C94,customers!A:A,customers!B:B,"Not Found")</f>
        <v>Rohit Singh</v>
      </c>
      <c r="N94" t="str">
        <f>_xlfn.XLOOKUP(C93,customers!A:A,customers!C:C,"Not Found")</f>
        <v>Bhopal</v>
      </c>
      <c r="O94" t="str">
        <f>IF(Sales_Data[[#This Row],[Total_Sales]]&gt;=50000,"High","Low")</f>
        <v>High</v>
      </c>
    </row>
    <row r="95" spans="1:15" x14ac:dyDescent="0.3">
      <c r="A95">
        <v>1094</v>
      </c>
      <c r="B95" s="4">
        <v>46112</v>
      </c>
      <c r="C95" t="s">
        <v>3</v>
      </c>
      <c r="D95" t="s">
        <v>64</v>
      </c>
      <c r="E95">
        <v>4</v>
      </c>
      <c r="F95">
        <v>900</v>
      </c>
      <c r="G95" t="s">
        <v>86</v>
      </c>
      <c r="H95" t="s">
        <v>79</v>
      </c>
      <c r="I95" t="s">
        <v>77</v>
      </c>
      <c r="J95">
        <v>3600</v>
      </c>
      <c r="K95" t="str">
        <f>_xlfn.XLOOKUP(Sales_Data[[#This Row],[Product_ID]],products!A:A,products!B:B,"Not Found")</f>
        <v>USB Drive</v>
      </c>
      <c r="L95" t="str">
        <f>_xlfn.XLOOKUP(Sales_Data[[#This Row],[Product_ID]],products!A:A,products!C:C,"Not Found")</f>
        <v>Accessories</v>
      </c>
      <c r="M95" t="str">
        <f>_xlfn.XLOOKUP(C95,customers!A:A,customers!B:B,"Not Found")</f>
        <v>Rahul Sharma</v>
      </c>
      <c r="N95" t="str">
        <f>_xlfn.XLOOKUP(C94,customers!A:A,customers!C:C,"Not Found")</f>
        <v>Delhi</v>
      </c>
      <c r="O95" t="str">
        <f>IF(Sales_Data[[#This Row],[Total_Sales]]&gt;=50000,"High","Low")</f>
        <v>Low</v>
      </c>
    </row>
    <row r="96" spans="1:15" x14ac:dyDescent="0.3">
      <c r="A96">
        <v>1095</v>
      </c>
      <c r="B96" s="4">
        <v>46074</v>
      </c>
      <c r="C96" t="s">
        <v>12</v>
      </c>
      <c r="D96" t="s">
        <v>46</v>
      </c>
      <c r="E96">
        <v>1</v>
      </c>
      <c r="F96">
        <v>55000</v>
      </c>
      <c r="G96" t="s">
        <v>80</v>
      </c>
      <c r="H96" t="s">
        <v>76</v>
      </c>
      <c r="I96" t="s">
        <v>87</v>
      </c>
      <c r="J96">
        <v>55000</v>
      </c>
      <c r="K96" t="str">
        <f>_xlfn.XLOOKUP(Sales_Data[[#This Row],[Product_ID]],products!A:A,products!B:B,"Not Found")</f>
        <v>Laptop</v>
      </c>
      <c r="L96" t="str">
        <f>_xlfn.XLOOKUP(Sales_Data[[#This Row],[Product_ID]],products!A:A,products!C:C,"Not Found")</f>
        <v>Electronics</v>
      </c>
      <c r="M96" t="str">
        <f>_xlfn.XLOOKUP(C96,customers!A:A,customers!B:B,"Not Found")</f>
        <v>Sneha Joshi</v>
      </c>
      <c r="N96" t="str">
        <f>_xlfn.XLOOKUP(C95,customers!A:A,customers!C:C,"Not Found")</f>
        <v>Nagpur</v>
      </c>
      <c r="O96" t="str">
        <f>IF(Sales_Data[[#This Row],[Total_Sales]]&gt;=50000,"High","Low")</f>
        <v>High</v>
      </c>
    </row>
    <row r="97" spans="1:15" x14ac:dyDescent="0.3">
      <c r="A97">
        <v>1096</v>
      </c>
      <c r="B97" s="4">
        <v>46194</v>
      </c>
      <c r="C97" t="s">
        <v>24</v>
      </c>
      <c r="D97" t="s">
        <v>52</v>
      </c>
      <c r="E97">
        <v>2</v>
      </c>
      <c r="F97">
        <v>800</v>
      </c>
      <c r="G97" t="s">
        <v>80</v>
      </c>
      <c r="H97" t="s">
        <v>76</v>
      </c>
      <c r="I97" t="s">
        <v>81</v>
      </c>
      <c r="J97">
        <v>1600</v>
      </c>
      <c r="K97" t="str">
        <f>_xlfn.XLOOKUP(Sales_Data[[#This Row],[Product_ID]],products!A:A,products!B:B,"Not Found")</f>
        <v>Mouse</v>
      </c>
      <c r="L97" t="str">
        <f>_xlfn.XLOOKUP(Sales_Data[[#This Row],[Product_ID]],products!A:A,products!C:C,"Not Found")</f>
        <v>Accessories</v>
      </c>
      <c r="M97" t="str">
        <f>_xlfn.XLOOKUP(C97,customers!A:A,customers!B:B,"Not Found")</f>
        <v>Pooja Deshmukh</v>
      </c>
      <c r="N97" t="str">
        <f>_xlfn.XLOOKUP(C96,customers!A:A,customers!C:C,"Not Found")</f>
        <v>Nashik</v>
      </c>
      <c r="O97" t="str">
        <f>IF(Sales_Data[[#This Row],[Total_Sales]]&gt;=50000,"High","Low")</f>
        <v>Low</v>
      </c>
    </row>
    <row r="98" spans="1:15" x14ac:dyDescent="0.3">
      <c r="A98">
        <v>1097</v>
      </c>
      <c r="B98" s="4">
        <v>46117</v>
      </c>
      <c r="C98" t="s">
        <v>36</v>
      </c>
      <c r="D98" t="s">
        <v>56</v>
      </c>
      <c r="E98">
        <v>3</v>
      </c>
      <c r="F98">
        <v>3500</v>
      </c>
      <c r="G98" t="s">
        <v>80</v>
      </c>
      <c r="H98" t="s">
        <v>84</v>
      </c>
      <c r="I98" t="s">
        <v>77</v>
      </c>
      <c r="J98">
        <v>10500</v>
      </c>
      <c r="K98" t="str">
        <f>_xlfn.XLOOKUP(Sales_Data[[#This Row],[Product_ID]],products!A:A,products!B:B,"Not Found")</f>
        <v>Headphones</v>
      </c>
      <c r="L98" t="str">
        <f>_xlfn.XLOOKUP(Sales_Data[[#This Row],[Product_ID]],products!A:A,products!C:C,"Not Found")</f>
        <v>Accessories</v>
      </c>
      <c r="M98" t="str">
        <f>_xlfn.XLOOKUP(C98,customers!A:A,customers!B:B,"Not Found")</f>
        <v>Akash Jain</v>
      </c>
      <c r="N98" t="str">
        <f>_xlfn.XLOOKUP(C97,customers!A:A,customers!C:C,"Not Found")</f>
        <v>Aurangabad</v>
      </c>
      <c r="O98" t="str">
        <f>IF(Sales_Data[[#This Row],[Total_Sales]]&gt;=50000,"High","Low")</f>
        <v>Low</v>
      </c>
    </row>
    <row r="99" spans="1:15" x14ac:dyDescent="0.3">
      <c r="A99">
        <v>1098</v>
      </c>
      <c r="B99" s="4">
        <v>46050</v>
      </c>
      <c r="C99" t="s">
        <v>15</v>
      </c>
      <c r="D99" t="s">
        <v>52</v>
      </c>
      <c r="E99">
        <v>1</v>
      </c>
      <c r="F99">
        <v>800</v>
      </c>
      <c r="G99" t="s">
        <v>82</v>
      </c>
      <c r="H99" t="s">
        <v>84</v>
      </c>
      <c r="I99" t="s">
        <v>81</v>
      </c>
      <c r="J99">
        <v>800</v>
      </c>
      <c r="K99" t="str">
        <f>_xlfn.XLOOKUP(Sales_Data[[#This Row],[Product_ID]],products!A:A,products!B:B,"Not Found")</f>
        <v>Mouse</v>
      </c>
      <c r="L99" t="str">
        <f>_xlfn.XLOOKUP(Sales_Data[[#This Row],[Product_ID]],products!A:A,products!C:C,"Not Found")</f>
        <v>Accessories</v>
      </c>
      <c r="M99" t="str">
        <f>_xlfn.XLOOKUP(C99,customers!A:A,customers!B:B,"Not Found")</f>
        <v>Rohit Singh</v>
      </c>
      <c r="N99" t="str">
        <f>_xlfn.XLOOKUP(C98,customers!A:A,customers!C:C,"Not Found")</f>
        <v>Nashik</v>
      </c>
      <c r="O99" t="str">
        <f>IF(Sales_Data[[#This Row],[Total_Sales]]&gt;=50000,"High","Low")</f>
        <v>Low</v>
      </c>
    </row>
    <row r="100" spans="1:15" x14ac:dyDescent="0.3">
      <c r="A100">
        <v>1099</v>
      </c>
      <c r="B100" s="4">
        <v>46073</v>
      </c>
      <c r="C100" t="s">
        <v>34</v>
      </c>
      <c r="D100" t="s">
        <v>60</v>
      </c>
      <c r="E100">
        <v>2</v>
      </c>
      <c r="F100">
        <v>22000</v>
      </c>
      <c r="G100" t="s">
        <v>80</v>
      </c>
      <c r="H100" t="s">
        <v>76</v>
      </c>
      <c r="I100" t="s">
        <v>77</v>
      </c>
      <c r="J100">
        <v>44000</v>
      </c>
      <c r="K100" t="str">
        <f>_xlfn.XLOOKUP(Sales_Data[[#This Row],[Product_ID]],products!A:A,products!B:B,"Not Found")</f>
        <v>Tablet</v>
      </c>
      <c r="L100" t="str">
        <f>_xlfn.XLOOKUP(Sales_Data[[#This Row],[Product_ID]],products!A:A,products!C:C,"Not Found")</f>
        <v>Electronics</v>
      </c>
      <c r="M100" t="str">
        <f>_xlfn.XLOOKUP(C100,customers!A:A,customers!B:B,"Not Found")</f>
        <v>Riya Shah</v>
      </c>
      <c r="N100" t="str">
        <f>_xlfn.XLOOKUP(C99,customers!A:A,customers!C:C,"Not Found")</f>
        <v>Delhi</v>
      </c>
      <c r="O100" t="str">
        <f>IF(Sales_Data[[#This Row],[Total_Sales]]&gt;=50000,"High","Low")</f>
        <v>Low</v>
      </c>
    </row>
    <row r="101" spans="1:15" x14ac:dyDescent="0.3">
      <c r="A101">
        <v>1100</v>
      </c>
      <c r="B101" s="4">
        <v>46198</v>
      </c>
      <c r="C101" t="s">
        <v>38</v>
      </c>
      <c r="D101" t="s">
        <v>56</v>
      </c>
      <c r="E101">
        <v>2</v>
      </c>
      <c r="F101">
        <v>3500</v>
      </c>
      <c r="G101" t="s">
        <v>80</v>
      </c>
      <c r="H101" t="s">
        <v>79</v>
      </c>
      <c r="I101" t="s">
        <v>85</v>
      </c>
      <c r="J101">
        <v>7000</v>
      </c>
      <c r="K101" t="str">
        <f>_xlfn.XLOOKUP(Sales_Data[[#This Row],[Product_ID]],products!A:A,products!B:B,"Not Found")</f>
        <v>Headphones</v>
      </c>
      <c r="L101" t="str">
        <f>_xlfn.XLOOKUP(Sales_Data[[#This Row],[Product_ID]],products!A:A,products!C:C,"Not Found")</f>
        <v>Accessories</v>
      </c>
      <c r="M101" t="str">
        <f>_xlfn.XLOOKUP(C101,customers!A:A,customers!B:B,"Not Found")</f>
        <v>Komal Pawar</v>
      </c>
      <c r="N101" t="str">
        <f>_xlfn.XLOOKUP(C100,customers!A:A,customers!C:C,"Not Found")</f>
        <v>Mumbai</v>
      </c>
      <c r="O101" t="str">
        <f>IF(Sales_Data[[#This Row],[Total_Sales]]&gt;=50000,"High","Low")</f>
        <v>Low</v>
      </c>
    </row>
    <row r="102" spans="1:15" x14ac:dyDescent="0.3">
      <c r="A102">
        <v>1101</v>
      </c>
      <c r="B102" s="4">
        <v>46192</v>
      </c>
      <c r="C102" t="s">
        <v>21</v>
      </c>
      <c r="D102" t="s">
        <v>64</v>
      </c>
      <c r="E102">
        <v>6</v>
      </c>
      <c r="F102">
        <v>900</v>
      </c>
      <c r="G102" t="s">
        <v>78</v>
      </c>
      <c r="H102" t="s">
        <v>84</v>
      </c>
      <c r="I102" t="s">
        <v>85</v>
      </c>
      <c r="J102">
        <v>5400</v>
      </c>
      <c r="K102" t="str">
        <f>_xlfn.XLOOKUP(Sales_Data[[#This Row],[Product_ID]],products!A:A,products!B:B,"Not Found")</f>
        <v>USB Drive</v>
      </c>
      <c r="L102" t="str">
        <f>_xlfn.XLOOKUP(Sales_Data[[#This Row],[Product_ID]],products!A:A,products!C:C,"Not Found")</f>
        <v>Accessories</v>
      </c>
      <c r="M102" t="str">
        <f>_xlfn.XLOOKUP(C102,customers!A:A,customers!B:B,"Not Found")</f>
        <v>Karan Mehta</v>
      </c>
      <c r="N102" t="str">
        <f>_xlfn.XLOOKUP(C101,customers!A:A,customers!C:C,"Not Found")</f>
        <v>Indore</v>
      </c>
      <c r="O102" t="str">
        <f>IF(Sales_Data[[#This Row],[Total_Sales]]&gt;=50000,"High","Low")</f>
        <v>Low</v>
      </c>
    </row>
    <row r="103" spans="1:15" x14ac:dyDescent="0.3">
      <c r="A103">
        <v>1102</v>
      </c>
      <c r="B103" s="4">
        <v>46130</v>
      </c>
      <c r="C103" t="s">
        <v>38</v>
      </c>
      <c r="D103" t="s">
        <v>46</v>
      </c>
      <c r="E103">
        <v>8</v>
      </c>
      <c r="F103">
        <v>55000</v>
      </c>
      <c r="G103" t="s">
        <v>78</v>
      </c>
      <c r="H103" t="s">
        <v>88</v>
      </c>
      <c r="I103" t="s">
        <v>85</v>
      </c>
      <c r="J103">
        <v>440000</v>
      </c>
      <c r="K103" t="str">
        <f>_xlfn.XLOOKUP(Sales_Data[[#This Row],[Product_ID]],products!A:A,products!B:B,"Not Found")</f>
        <v>Laptop</v>
      </c>
      <c r="L103" t="str">
        <f>_xlfn.XLOOKUP(Sales_Data[[#This Row],[Product_ID]],products!A:A,products!C:C,"Not Found")</f>
        <v>Electronics</v>
      </c>
      <c r="M103" t="str">
        <f>_xlfn.XLOOKUP(C103,customers!A:A,customers!B:B,"Not Found")</f>
        <v>Komal Pawar</v>
      </c>
      <c r="N103" t="str">
        <f>_xlfn.XLOOKUP(C102,customers!A:A,customers!C:C,"Not Found")</f>
        <v>Bhopal</v>
      </c>
      <c r="O103" t="str">
        <f>IF(Sales_Data[[#This Row],[Total_Sales]]&gt;=50000,"High","Low")</f>
        <v>High</v>
      </c>
    </row>
    <row r="104" spans="1:15" x14ac:dyDescent="0.3">
      <c r="A104">
        <v>1103</v>
      </c>
      <c r="B104" s="4">
        <v>46062</v>
      </c>
      <c r="C104" t="s">
        <v>34</v>
      </c>
      <c r="D104" t="s">
        <v>62</v>
      </c>
      <c r="E104">
        <v>7</v>
      </c>
      <c r="F104">
        <v>3000</v>
      </c>
      <c r="G104" t="s">
        <v>75</v>
      </c>
      <c r="H104" t="s">
        <v>84</v>
      </c>
      <c r="I104" t="s">
        <v>85</v>
      </c>
      <c r="J104">
        <v>21000</v>
      </c>
      <c r="K104" t="str">
        <f>_xlfn.XLOOKUP(Sales_Data[[#This Row],[Product_ID]],products!A:A,products!B:B,"Not Found")</f>
        <v>Webcam</v>
      </c>
      <c r="L104" t="str">
        <f>_xlfn.XLOOKUP(Sales_Data[[#This Row],[Product_ID]],products!A:A,products!C:C,"Not Found")</f>
        <v>Accessories</v>
      </c>
      <c r="M104" t="str">
        <f>_xlfn.XLOOKUP(C104,customers!A:A,customers!B:B,"Not Found")</f>
        <v>Riya Shah</v>
      </c>
      <c r="N104" t="str">
        <f>_xlfn.XLOOKUP(C103,customers!A:A,customers!C:C,"Not Found")</f>
        <v>Indore</v>
      </c>
      <c r="O104" t="str">
        <f>IF(Sales_Data[[#This Row],[Total_Sales]]&gt;=50000,"High","Low")</f>
        <v>Low</v>
      </c>
    </row>
    <row r="105" spans="1:15" x14ac:dyDescent="0.3">
      <c r="A105">
        <v>1104</v>
      </c>
      <c r="B105" s="4">
        <v>46160</v>
      </c>
      <c r="C105" t="s">
        <v>36</v>
      </c>
      <c r="D105" t="s">
        <v>66</v>
      </c>
      <c r="E105">
        <v>8</v>
      </c>
      <c r="F105">
        <v>30000</v>
      </c>
      <c r="G105" t="s">
        <v>89</v>
      </c>
      <c r="H105" t="s">
        <v>88</v>
      </c>
      <c r="I105" t="s">
        <v>85</v>
      </c>
      <c r="J105">
        <v>240000</v>
      </c>
      <c r="K105" t="str">
        <f>_xlfn.XLOOKUP(Sales_Data[[#This Row],[Product_ID]],products!A:A,products!B:B,"Not Found")</f>
        <v>Smartphone</v>
      </c>
      <c r="L105" t="str">
        <f>_xlfn.XLOOKUP(Sales_Data[[#This Row],[Product_ID]],products!A:A,products!C:C,"Not Found")</f>
        <v>Electronics</v>
      </c>
      <c r="M105" t="str">
        <f>_xlfn.XLOOKUP(C105,customers!A:A,customers!B:B,"Not Found")</f>
        <v>Akash Jain</v>
      </c>
      <c r="N105" t="str">
        <f>_xlfn.XLOOKUP(C104,customers!A:A,customers!C:C,"Not Found")</f>
        <v>Mumbai</v>
      </c>
      <c r="O105" t="str">
        <f>IF(Sales_Data[[#This Row],[Total_Sales]]&gt;=50000,"High","Low")</f>
        <v>High</v>
      </c>
    </row>
    <row r="106" spans="1:15" x14ac:dyDescent="0.3">
      <c r="A106">
        <v>1105</v>
      </c>
      <c r="B106" s="4">
        <v>46085</v>
      </c>
      <c r="C106" t="s">
        <v>38</v>
      </c>
      <c r="D106" t="s">
        <v>58</v>
      </c>
      <c r="E106">
        <v>2</v>
      </c>
      <c r="F106">
        <v>12000</v>
      </c>
      <c r="G106" t="s">
        <v>82</v>
      </c>
      <c r="H106" t="s">
        <v>88</v>
      </c>
      <c r="I106" t="s">
        <v>87</v>
      </c>
      <c r="J106">
        <v>24000</v>
      </c>
      <c r="K106" t="str">
        <f>_xlfn.XLOOKUP(Sales_Data[[#This Row],[Product_ID]],products!A:A,products!B:B,"Not Found")</f>
        <v>Printer</v>
      </c>
      <c r="L106" t="str">
        <f>_xlfn.XLOOKUP(Sales_Data[[#This Row],[Product_ID]],products!A:A,products!C:C,"Not Found")</f>
        <v>Electronics</v>
      </c>
      <c r="M106" t="str">
        <f>_xlfn.XLOOKUP(C106,customers!A:A,customers!B:B,"Not Found")</f>
        <v>Komal Pawar</v>
      </c>
      <c r="N106" t="str">
        <f>_xlfn.XLOOKUP(C105,customers!A:A,customers!C:C,"Not Found")</f>
        <v>Nashik</v>
      </c>
      <c r="O106" t="str">
        <f>IF(Sales_Data[[#This Row],[Total_Sales]]&gt;=50000,"High","Low")</f>
        <v>Low</v>
      </c>
    </row>
    <row r="107" spans="1:15" x14ac:dyDescent="0.3">
      <c r="A107">
        <v>1106</v>
      </c>
      <c r="B107" s="4">
        <v>46179</v>
      </c>
      <c r="C107" t="s">
        <v>30</v>
      </c>
      <c r="D107" t="s">
        <v>62</v>
      </c>
      <c r="E107">
        <v>7</v>
      </c>
      <c r="F107">
        <v>3000</v>
      </c>
      <c r="G107" t="s">
        <v>82</v>
      </c>
      <c r="H107" t="s">
        <v>79</v>
      </c>
      <c r="I107" t="s">
        <v>81</v>
      </c>
      <c r="J107">
        <v>21000</v>
      </c>
      <c r="K107" t="str">
        <f>_xlfn.XLOOKUP(Sales_Data[[#This Row],[Product_ID]],products!A:A,products!B:B,"Not Found")</f>
        <v>Webcam</v>
      </c>
      <c r="L107" t="str">
        <f>_xlfn.XLOOKUP(Sales_Data[[#This Row],[Product_ID]],products!A:A,products!C:C,"Not Found")</f>
        <v>Accessories</v>
      </c>
      <c r="M107" t="str">
        <f>_xlfn.XLOOKUP(C107,customers!A:A,customers!B:B,"Not Found")</f>
        <v>Anjali Kulkarni</v>
      </c>
      <c r="N107" t="str">
        <f>_xlfn.XLOOKUP(C106,customers!A:A,customers!C:C,"Not Found")</f>
        <v>Indore</v>
      </c>
      <c r="O107" t="str">
        <f>IF(Sales_Data[[#This Row],[Total_Sales]]&gt;=50000,"High","Low")</f>
        <v>Low</v>
      </c>
    </row>
    <row r="108" spans="1:15" x14ac:dyDescent="0.3">
      <c r="A108">
        <v>1107</v>
      </c>
      <c r="B108" s="4">
        <v>46147</v>
      </c>
      <c r="C108" t="s">
        <v>9</v>
      </c>
      <c r="D108" t="s">
        <v>58</v>
      </c>
      <c r="E108">
        <v>4</v>
      </c>
      <c r="F108">
        <v>12000</v>
      </c>
      <c r="G108" t="s">
        <v>82</v>
      </c>
      <c r="H108" t="s">
        <v>83</v>
      </c>
      <c r="I108" t="s">
        <v>85</v>
      </c>
      <c r="J108">
        <v>48000</v>
      </c>
      <c r="K108" t="str">
        <f>_xlfn.XLOOKUP(Sales_Data[[#This Row],[Product_ID]],products!A:A,products!B:B,"Not Found")</f>
        <v>Printer</v>
      </c>
      <c r="L108" t="str">
        <f>_xlfn.XLOOKUP(Sales_Data[[#This Row],[Product_ID]],products!A:A,products!C:C,"Not Found")</f>
        <v>Electronics</v>
      </c>
      <c r="M108" t="str">
        <f>_xlfn.XLOOKUP(C108,customers!A:A,customers!B:B,"Not Found")</f>
        <v>Amit Verma</v>
      </c>
      <c r="N108" t="str">
        <f>_xlfn.XLOOKUP(C107,customers!A:A,customers!C:C,"Not Found")</f>
        <v>Nagpur</v>
      </c>
      <c r="O108" t="str">
        <f>IF(Sales_Data[[#This Row],[Total_Sales]]&gt;=50000,"High","Low")</f>
        <v>Low</v>
      </c>
    </row>
    <row r="109" spans="1:15" x14ac:dyDescent="0.3">
      <c r="A109">
        <v>1108</v>
      </c>
      <c r="B109" s="4">
        <v>46175</v>
      </c>
      <c r="C109" t="s">
        <v>40</v>
      </c>
      <c r="D109" t="s">
        <v>56</v>
      </c>
      <c r="E109">
        <v>5</v>
      </c>
      <c r="F109">
        <v>3500</v>
      </c>
      <c r="G109" t="s">
        <v>80</v>
      </c>
      <c r="H109" t="s">
        <v>79</v>
      </c>
      <c r="I109" t="s">
        <v>87</v>
      </c>
      <c r="J109">
        <v>17500</v>
      </c>
      <c r="K109" t="str">
        <f>_xlfn.XLOOKUP(Sales_Data[[#This Row],[Product_ID]],products!A:A,products!B:B,"Not Found")</f>
        <v>Headphones</v>
      </c>
      <c r="L109" t="str">
        <f>_xlfn.XLOOKUP(Sales_Data[[#This Row],[Product_ID]],products!A:A,products!C:C,"Not Found")</f>
        <v>Accessories</v>
      </c>
      <c r="M109" t="str">
        <f>_xlfn.XLOOKUP(C109,customers!A:A,customers!B:B,"Not Found")</f>
        <v>Nitin More</v>
      </c>
      <c r="N109" t="str">
        <f>_xlfn.XLOOKUP(C108,customers!A:A,customers!C:C,"Not Found")</f>
        <v>Mumbai</v>
      </c>
      <c r="O109" t="str">
        <f>IF(Sales_Data[[#This Row],[Total_Sales]]&gt;=50000,"High","Low")</f>
        <v>Low</v>
      </c>
    </row>
    <row r="110" spans="1:15" x14ac:dyDescent="0.3">
      <c r="A110">
        <v>1109</v>
      </c>
      <c r="B110" s="4">
        <v>46127</v>
      </c>
      <c r="C110" t="s">
        <v>12</v>
      </c>
      <c r="D110" t="s">
        <v>49</v>
      </c>
      <c r="E110">
        <v>8</v>
      </c>
      <c r="F110">
        <v>2500</v>
      </c>
      <c r="G110" t="s">
        <v>80</v>
      </c>
      <c r="H110" t="s">
        <v>76</v>
      </c>
      <c r="I110" t="s">
        <v>81</v>
      </c>
      <c r="J110">
        <v>20000</v>
      </c>
      <c r="K110" t="str">
        <f>_xlfn.XLOOKUP(Sales_Data[[#This Row],[Product_ID]],products!A:A,products!B:B,"Not Found")</f>
        <v>Keyboard</v>
      </c>
      <c r="L110" t="str">
        <f>_xlfn.XLOOKUP(Sales_Data[[#This Row],[Product_ID]],products!A:A,products!C:C,"Not Found")</f>
        <v>Accessories</v>
      </c>
      <c r="M110" t="str">
        <f>_xlfn.XLOOKUP(C110,customers!A:A,customers!B:B,"Not Found")</f>
        <v>Sneha Joshi</v>
      </c>
      <c r="N110" t="str">
        <f>_xlfn.XLOOKUP(C109,customers!A:A,customers!C:C,"Not Found")</f>
        <v>Nagpur</v>
      </c>
      <c r="O110" t="str">
        <f>IF(Sales_Data[[#This Row],[Total_Sales]]&gt;=50000,"High","Low")</f>
        <v>Low</v>
      </c>
    </row>
    <row r="111" spans="1:15" x14ac:dyDescent="0.3">
      <c r="A111">
        <v>1110</v>
      </c>
      <c r="B111" s="4">
        <v>46027</v>
      </c>
      <c r="C111" t="s">
        <v>24</v>
      </c>
      <c r="D111" t="s">
        <v>62</v>
      </c>
      <c r="E111">
        <v>2</v>
      </c>
      <c r="F111">
        <v>3000</v>
      </c>
      <c r="G111" t="s">
        <v>82</v>
      </c>
      <c r="H111" t="s">
        <v>76</v>
      </c>
      <c r="I111" t="s">
        <v>81</v>
      </c>
      <c r="J111">
        <v>6000</v>
      </c>
      <c r="K111" t="str">
        <f>_xlfn.XLOOKUP(Sales_Data[[#This Row],[Product_ID]],products!A:A,products!B:B,"Not Found")</f>
        <v>Webcam</v>
      </c>
      <c r="L111" t="str">
        <f>_xlfn.XLOOKUP(Sales_Data[[#This Row],[Product_ID]],products!A:A,products!C:C,"Not Found")</f>
        <v>Accessories</v>
      </c>
      <c r="M111" t="str">
        <f>_xlfn.XLOOKUP(C111,customers!A:A,customers!B:B,"Not Found")</f>
        <v>Pooja Deshmukh</v>
      </c>
      <c r="N111" t="str">
        <f>_xlfn.XLOOKUP(C110,customers!A:A,customers!C:C,"Not Found")</f>
        <v>Nashik</v>
      </c>
      <c r="O111" t="str">
        <f>IF(Sales_Data[[#This Row],[Total_Sales]]&gt;=50000,"High","Low")</f>
        <v>Low</v>
      </c>
    </row>
    <row r="112" spans="1:15" x14ac:dyDescent="0.3">
      <c r="A112">
        <v>1111</v>
      </c>
      <c r="B112" s="4">
        <v>46192</v>
      </c>
      <c r="C112" t="s">
        <v>15</v>
      </c>
      <c r="D112" t="s">
        <v>54</v>
      </c>
      <c r="E112">
        <v>6</v>
      </c>
      <c r="F112">
        <v>15000</v>
      </c>
      <c r="G112" t="s">
        <v>89</v>
      </c>
      <c r="H112" t="s">
        <v>84</v>
      </c>
      <c r="I112" t="s">
        <v>85</v>
      </c>
      <c r="J112">
        <v>90000</v>
      </c>
      <c r="K112" t="str">
        <f>_xlfn.XLOOKUP(Sales_Data[[#This Row],[Product_ID]],products!A:A,products!B:B,"Not Found")</f>
        <v>Monitor</v>
      </c>
      <c r="L112" t="str">
        <f>_xlfn.XLOOKUP(Sales_Data[[#This Row],[Product_ID]],products!A:A,products!C:C,"Not Found")</f>
        <v>Electronics</v>
      </c>
      <c r="M112" t="str">
        <f>_xlfn.XLOOKUP(C112,customers!A:A,customers!B:B,"Not Found")</f>
        <v>Rohit Singh</v>
      </c>
      <c r="N112" t="str">
        <f>_xlfn.XLOOKUP(C111,customers!A:A,customers!C:C,"Not Found")</f>
        <v>Aurangabad</v>
      </c>
      <c r="O112" t="str">
        <f>IF(Sales_Data[[#This Row],[Total_Sales]]&gt;=50000,"High","Low")</f>
        <v>High</v>
      </c>
    </row>
    <row r="113" spans="1:15" x14ac:dyDescent="0.3">
      <c r="A113">
        <v>1112</v>
      </c>
      <c r="B113" s="4">
        <v>46163</v>
      </c>
      <c r="C113" t="s">
        <v>34</v>
      </c>
      <c r="D113" t="s">
        <v>60</v>
      </c>
      <c r="E113">
        <v>6</v>
      </c>
      <c r="F113">
        <v>22000</v>
      </c>
      <c r="G113" t="s">
        <v>82</v>
      </c>
      <c r="H113" t="s">
        <v>88</v>
      </c>
      <c r="I113" t="s">
        <v>85</v>
      </c>
      <c r="J113">
        <v>132000</v>
      </c>
      <c r="K113" t="str">
        <f>_xlfn.XLOOKUP(Sales_Data[[#This Row],[Product_ID]],products!A:A,products!B:B,"Not Found")</f>
        <v>Tablet</v>
      </c>
      <c r="L113" t="str">
        <f>_xlfn.XLOOKUP(Sales_Data[[#This Row],[Product_ID]],products!A:A,products!C:C,"Not Found")</f>
        <v>Electronics</v>
      </c>
      <c r="M113" t="str">
        <f>_xlfn.XLOOKUP(C113,customers!A:A,customers!B:B,"Not Found")</f>
        <v>Riya Shah</v>
      </c>
      <c r="N113" t="str">
        <f>_xlfn.XLOOKUP(C112,customers!A:A,customers!C:C,"Not Found")</f>
        <v>Delhi</v>
      </c>
      <c r="O113" t="str">
        <f>IF(Sales_Data[[#This Row],[Total_Sales]]&gt;=50000,"High","Low")</f>
        <v>High</v>
      </c>
    </row>
    <row r="114" spans="1:15" x14ac:dyDescent="0.3">
      <c r="A114">
        <v>1113</v>
      </c>
      <c r="B114" s="4">
        <v>46082</v>
      </c>
      <c r="C114" t="s">
        <v>15</v>
      </c>
      <c r="D114" t="s">
        <v>56</v>
      </c>
      <c r="E114">
        <v>2</v>
      </c>
      <c r="F114">
        <v>3500</v>
      </c>
      <c r="G114" t="s">
        <v>86</v>
      </c>
      <c r="H114" t="s">
        <v>76</v>
      </c>
      <c r="I114" t="s">
        <v>85</v>
      </c>
      <c r="J114">
        <v>7000</v>
      </c>
      <c r="K114" t="str">
        <f>_xlfn.XLOOKUP(Sales_Data[[#This Row],[Product_ID]],products!A:A,products!B:B,"Not Found")</f>
        <v>Headphones</v>
      </c>
      <c r="L114" t="str">
        <f>_xlfn.XLOOKUP(Sales_Data[[#This Row],[Product_ID]],products!A:A,products!C:C,"Not Found")</f>
        <v>Accessories</v>
      </c>
      <c r="M114" t="str">
        <f>_xlfn.XLOOKUP(C114,customers!A:A,customers!B:B,"Not Found")</f>
        <v>Rohit Singh</v>
      </c>
      <c r="N114" t="str">
        <f>_xlfn.XLOOKUP(C113,customers!A:A,customers!C:C,"Not Found")</f>
        <v>Mumbai</v>
      </c>
      <c r="O114" t="str">
        <f>IF(Sales_Data[[#This Row],[Total_Sales]]&gt;=50000,"High","Low")</f>
        <v>Low</v>
      </c>
    </row>
    <row r="115" spans="1:15" x14ac:dyDescent="0.3">
      <c r="A115">
        <v>1114</v>
      </c>
      <c r="B115" s="4">
        <v>46160</v>
      </c>
      <c r="C115" t="s">
        <v>34</v>
      </c>
      <c r="D115" t="s">
        <v>49</v>
      </c>
      <c r="E115">
        <v>3</v>
      </c>
      <c r="F115">
        <v>2500</v>
      </c>
      <c r="G115" t="s">
        <v>75</v>
      </c>
      <c r="H115" t="s">
        <v>76</v>
      </c>
      <c r="I115" t="s">
        <v>81</v>
      </c>
      <c r="J115">
        <v>7500</v>
      </c>
      <c r="K115" t="str">
        <f>_xlfn.XLOOKUP(Sales_Data[[#This Row],[Product_ID]],products!A:A,products!B:B,"Not Found")</f>
        <v>Keyboard</v>
      </c>
      <c r="L115" t="str">
        <f>_xlfn.XLOOKUP(Sales_Data[[#This Row],[Product_ID]],products!A:A,products!C:C,"Not Found")</f>
        <v>Accessories</v>
      </c>
      <c r="M115" t="str">
        <f>_xlfn.XLOOKUP(C115,customers!A:A,customers!B:B,"Not Found")</f>
        <v>Riya Shah</v>
      </c>
      <c r="N115" t="str">
        <f>_xlfn.XLOOKUP(C114,customers!A:A,customers!C:C,"Not Found")</f>
        <v>Delhi</v>
      </c>
      <c r="O115" t="str">
        <f>IF(Sales_Data[[#This Row],[Total_Sales]]&gt;=50000,"High","Low")</f>
        <v>Low</v>
      </c>
    </row>
    <row r="116" spans="1:15" x14ac:dyDescent="0.3">
      <c r="A116">
        <v>1115</v>
      </c>
      <c r="B116" s="4">
        <v>46173</v>
      </c>
      <c r="C116" t="s">
        <v>34</v>
      </c>
      <c r="D116" t="s">
        <v>56</v>
      </c>
      <c r="E116">
        <v>5</v>
      </c>
      <c r="F116">
        <v>3500</v>
      </c>
      <c r="G116" t="s">
        <v>78</v>
      </c>
      <c r="H116" t="s">
        <v>76</v>
      </c>
      <c r="I116" t="s">
        <v>85</v>
      </c>
      <c r="J116">
        <v>17500</v>
      </c>
      <c r="K116" t="str">
        <f>_xlfn.XLOOKUP(Sales_Data[[#This Row],[Product_ID]],products!A:A,products!B:B,"Not Found")</f>
        <v>Headphones</v>
      </c>
      <c r="L116" t="str">
        <f>_xlfn.XLOOKUP(Sales_Data[[#This Row],[Product_ID]],products!A:A,products!C:C,"Not Found")</f>
        <v>Accessories</v>
      </c>
      <c r="M116" t="str">
        <f>_xlfn.XLOOKUP(C116,customers!A:A,customers!B:B,"Not Found")</f>
        <v>Riya Shah</v>
      </c>
      <c r="N116" t="str">
        <f>_xlfn.XLOOKUP(C115,customers!A:A,customers!C:C,"Not Found")</f>
        <v>Mumbai</v>
      </c>
      <c r="O116" t="str">
        <f>IF(Sales_Data[[#This Row],[Total_Sales]]&gt;=50000,"High","Low")</f>
        <v>Low</v>
      </c>
    </row>
    <row r="117" spans="1:15" x14ac:dyDescent="0.3">
      <c r="A117">
        <v>1116</v>
      </c>
      <c r="B117" s="4">
        <v>46068</v>
      </c>
      <c r="C117" t="s">
        <v>18</v>
      </c>
      <c r="D117" t="s">
        <v>54</v>
      </c>
      <c r="E117">
        <v>5</v>
      </c>
      <c r="F117">
        <v>15000</v>
      </c>
      <c r="G117" t="s">
        <v>78</v>
      </c>
      <c r="H117" t="s">
        <v>84</v>
      </c>
      <c r="I117" t="s">
        <v>87</v>
      </c>
      <c r="J117">
        <v>75000</v>
      </c>
      <c r="K117" t="str">
        <f>_xlfn.XLOOKUP(Sales_Data[[#This Row],[Product_ID]],products!A:A,products!B:B,"Not Found")</f>
        <v>Monitor</v>
      </c>
      <c r="L117" t="str">
        <f>_xlfn.XLOOKUP(Sales_Data[[#This Row],[Product_ID]],products!A:A,products!C:C,"Not Found")</f>
        <v>Electronics</v>
      </c>
      <c r="M117" t="str">
        <f>_xlfn.XLOOKUP(C117,customers!A:A,customers!B:B,"Not Found")</f>
        <v>Neha Gupta</v>
      </c>
      <c r="N117" t="str">
        <f>_xlfn.XLOOKUP(C116,customers!A:A,customers!C:C,"Not Found")</f>
        <v>Mumbai</v>
      </c>
      <c r="O117" t="str">
        <f>IF(Sales_Data[[#This Row],[Total_Sales]]&gt;=50000,"High","Low")</f>
        <v>High</v>
      </c>
    </row>
    <row r="118" spans="1:15" x14ac:dyDescent="0.3">
      <c r="A118">
        <v>1117</v>
      </c>
      <c r="B118" s="4">
        <v>46036</v>
      </c>
      <c r="C118" t="s">
        <v>3</v>
      </c>
      <c r="D118" t="s">
        <v>56</v>
      </c>
      <c r="E118">
        <v>5</v>
      </c>
      <c r="F118">
        <v>3500</v>
      </c>
      <c r="G118" t="s">
        <v>86</v>
      </c>
      <c r="H118" t="s">
        <v>76</v>
      </c>
      <c r="I118" t="s">
        <v>81</v>
      </c>
      <c r="J118">
        <v>17500</v>
      </c>
      <c r="K118" t="str">
        <f>_xlfn.XLOOKUP(Sales_Data[[#This Row],[Product_ID]],products!A:A,products!B:B,"Not Found")</f>
        <v>Headphones</v>
      </c>
      <c r="L118" t="str">
        <f>_xlfn.XLOOKUP(Sales_Data[[#This Row],[Product_ID]],products!A:A,products!C:C,"Not Found")</f>
        <v>Accessories</v>
      </c>
      <c r="M118" t="str">
        <f>_xlfn.XLOOKUP(C118,customers!A:A,customers!B:B,"Not Found")</f>
        <v>Rahul Sharma</v>
      </c>
      <c r="N118" t="str">
        <f>_xlfn.XLOOKUP(C117,customers!A:A,customers!C:C,"Not Found")</f>
        <v>Indore</v>
      </c>
      <c r="O118" t="str">
        <f>IF(Sales_Data[[#This Row],[Total_Sales]]&gt;=50000,"High","Low")</f>
        <v>Low</v>
      </c>
    </row>
    <row r="119" spans="1:15" x14ac:dyDescent="0.3">
      <c r="A119">
        <v>1118</v>
      </c>
      <c r="B119" s="4">
        <v>46026</v>
      </c>
      <c r="C119" t="s">
        <v>38</v>
      </c>
      <c r="D119" t="s">
        <v>49</v>
      </c>
      <c r="E119">
        <v>5</v>
      </c>
      <c r="F119">
        <v>2500</v>
      </c>
      <c r="G119" t="s">
        <v>89</v>
      </c>
      <c r="H119" t="s">
        <v>88</v>
      </c>
      <c r="I119" t="s">
        <v>81</v>
      </c>
      <c r="J119">
        <v>12500</v>
      </c>
      <c r="K119" t="str">
        <f>_xlfn.XLOOKUP(Sales_Data[[#This Row],[Product_ID]],products!A:A,products!B:B,"Not Found")</f>
        <v>Keyboard</v>
      </c>
      <c r="L119" t="str">
        <f>_xlfn.XLOOKUP(Sales_Data[[#This Row],[Product_ID]],products!A:A,products!C:C,"Not Found")</f>
        <v>Accessories</v>
      </c>
      <c r="M119" t="str">
        <f>_xlfn.XLOOKUP(C119,customers!A:A,customers!B:B,"Not Found")</f>
        <v>Komal Pawar</v>
      </c>
      <c r="N119" t="str">
        <f>_xlfn.XLOOKUP(C118,customers!A:A,customers!C:C,"Not Found")</f>
        <v>Nagpur</v>
      </c>
      <c r="O119" t="str">
        <f>IF(Sales_Data[[#This Row],[Total_Sales]]&gt;=50000,"High","Low")</f>
        <v>Low</v>
      </c>
    </row>
    <row r="120" spans="1:15" x14ac:dyDescent="0.3">
      <c r="A120">
        <v>1119</v>
      </c>
      <c r="B120" s="4">
        <v>46036</v>
      </c>
      <c r="C120" t="s">
        <v>9</v>
      </c>
      <c r="D120" t="s">
        <v>58</v>
      </c>
      <c r="E120">
        <v>5</v>
      </c>
      <c r="F120">
        <v>12000</v>
      </c>
      <c r="G120" t="s">
        <v>89</v>
      </c>
      <c r="H120" t="s">
        <v>79</v>
      </c>
      <c r="I120" t="s">
        <v>77</v>
      </c>
      <c r="J120">
        <v>60000</v>
      </c>
      <c r="K120" t="str">
        <f>_xlfn.XLOOKUP(Sales_Data[[#This Row],[Product_ID]],products!A:A,products!B:B,"Not Found")</f>
        <v>Printer</v>
      </c>
      <c r="L120" t="str">
        <f>_xlfn.XLOOKUP(Sales_Data[[#This Row],[Product_ID]],products!A:A,products!C:C,"Not Found")</f>
        <v>Electronics</v>
      </c>
      <c r="M120" t="str">
        <f>_xlfn.XLOOKUP(C120,customers!A:A,customers!B:B,"Not Found")</f>
        <v>Amit Verma</v>
      </c>
      <c r="N120" t="str">
        <f>_xlfn.XLOOKUP(C119,customers!A:A,customers!C:C,"Not Found")</f>
        <v>Indore</v>
      </c>
      <c r="O120" t="str">
        <f>IF(Sales_Data[[#This Row],[Total_Sales]]&gt;=50000,"High","Low")</f>
        <v>High</v>
      </c>
    </row>
    <row r="121" spans="1:15" x14ac:dyDescent="0.3">
      <c r="A121">
        <v>1120</v>
      </c>
      <c r="B121" s="4">
        <v>46041</v>
      </c>
      <c r="C121" t="s">
        <v>24</v>
      </c>
      <c r="D121" t="s">
        <v>60</v>
      </c>
      <c r="E121">
        <v>1</v>
      </c>
      <c r="F121">
        <v>22000</v>
      </c>
      <c r="G121" t="s">
        <v>75</v>
      </c>
      <c r="H121" t="s">
        <v>76</v>
      </c>
      <c r="I121" t="s">
        <v>85</v>
      </c>
      <c r="J121">
        <v>22000</v>
      </c>
      <c r="K121" t="str">
        <f>_xlfn.XLOOKUP(Sales_Data[[#This Row],[Product_ID]],products!A:A,products!B:B,"Not Found")</f>
        <v>Tablet</v>
      </c>
      <c r="L121" t="str">
        <f>_xlfn.XLOOKUP(Sales_Data[[#This Row],[Product_ID]],products!A:A,products!C:C,"Not Found")</f>
        <v>Electronics</v>
      </c>
      <c r="M121" t="str">
        <f>_xlfn.XLOOKUP(C121,customers!A:A,customers!B:B,"Not Found")</f>
        <v>Pooja Deshmukh</v>
      </c>
      <c r="N121" t="str">
        <f>_xlfn.XLOOKUP(C120,customers!A:A,customers!C:C,"Not Found")</f>
        <v>Mumbai</v>
      </c>
      <c r="O121" t="str">
        <f>IF(Sales_Data[[#This Row],[Total_Sales]]&gt;=50000,"High","Low")</f>
        <v>Low</v>
      </c>
    </row>
    <row r="122" spans="1:15" x14ac:dyDescent="0.3">
      <c r="A122">
        <v>1121</v>
      </c>
      <c r="B122" s="4">
        <v>46053</v>
      </c>
      <c r="C122" t="s">
        <v>12</v>
      </c>
      <c r="D122" t="s">
        <v>49</v>
      </c>
      <c r="E122">
        <v>7</v>
      </c>
      <c r="F122">
        <v>2500</v>
      </c>
      <c r="G122" t="s">
        <v>80</v>
      </c>
      <c r="H122" t="s">
        <v>84</v>
      </c>
      <c r="I122" t="s">
        <v>87</v>
      </c>
      <c r="J122">
        <v>17500</v>
      </c>
      <c r="K122" t="str">
        <f>_xlfn.XLOOKUP(Sales_Data[[#This Row],[Product_ID]],products!A:A,products!B:B,"Not Found")</f>
        <v>Keyboard</v>
      </c>
      <c r="L122" t="str">
        <f>_xlfn.XLOOKUP(Sales_Data[[#This Row],[Product_ID]],products!A:A,products!C:C,"Not Found")</f>
        <v>Accessories</v>
      </c>
      <c r="M122" t="str">
        <f>_xlfn.XLOOKUP(C122,customers!A:A,customers!B:B,"Not Found")</f>
        <v>Sneha Joshi</v>
      </c>
      <c r="N122" t="str">
        <f>_xlfn.XLOOKUP(C121,customers!A:A,customers!C:C,"Not Found")</f>
        <v>Aurangabad</v>
      </c>
      <c r="O122" t="str">
        <f>IF(Sales_Data[[#This Row],[Total_Sales]]&gt;=50000,"High","Low")</f>
        <v>Low</v>
      </c>
    </row>
    <row r="123" spans="1:15" x14ac:dyDescent="0.3">
      <c r="A123">
        <v>1122</v>
      </c>
      <c r="B123" s="4">
        <v>46138</v>
      </c>
      <c r="C123" t="s">
        <v>21</v>
      </c>
      <c r="D123" t="s">
        <v>64</v>
      </c>
      <c r="E123">
        <v>8</v>
      </c>
      <c r="F123">
        <v>900</v>
      </c>
      <c r="G123" t="s">
        <v>82</v>
      </c>
      <c r="H123" t="s">
        <v>84</v>
      </c>
      <c r="I123" t="s">
        <v>81</v>
      </c>
      <c r="J123">
        <v>7200</v>
      </c>
      <c r="K123" t="str">
        <f>_xlfn.XLOOKUP(Sales_Data[[#This Row],[Product_ID]],products!A:A,products!B:B,"Not Found")</f>
        <v>USB Drive</v>
      </c>
      <c r="L123" t="str">
        <f>_xlfn.XLOOKUP(Sales_Data[[#This Row],[Product_ID]],products!A:A,products!C:C,"Not Found")</f>
        <v>Accessories</v>
      </c>
      <c r="M123" t="str">
        <f>_xlfn.XLOOKUP(C123,customers!A:A,customers!B:B,"Not Found")</f>
        <v>Karan Mehta</v>
      </c>
      <c r="N123" t="str">
        <f>_xlfn.XLOOKUP(C122,customers!A:A,customers!C:C,"Not Found")</f>
        <v>Nashik</v>
      </c>
      <c r="O123" t="str">
        <f>IF(Sales_Data[[#This Row],[Total_Sales]]&gt;=50000,"High","Low")</f>
        <v>Low</v>
      </c>
    </row>
    <row r="124" spans="1:15" x14ac:dyDescent="0.3">
      <c r="A124">
        <v>1123</v>
      </c>
      <c r="B124" s="4">
        <v>46181</v>
      </c>
      <c r="C124" t="s">
        <v>30</v>
      </c>
      <c r="D124" t="s">
        <v>56</v>
      </c>
      <c r="E124">
        <v>1</v>
      </c>
      <c r="F124">
        <v>3500</v>
      </c>
      <c r="G124" t="s">
        <v>80</v>
      </c>
      <c r="H124" t="s">
        <v>79</v>
      </c>
      <c r="I124" t="s">
        <v>87</v>
      </c>
      <c r="J124">
        <v>3500</v>
      </c>
      <c r="K124" t="str">
        <f>_xlfn.XLOOKUP(Sales_Data[[#This Row],[Product_ID]],products!A:A,products!B:B,"Not Found")</f>
        <v>Headphones</v>
      </c>
      <c r="L124" t="str">
        <f>_xlfn.XLOOKUP(Sales_Data[[#This Row],[Product_ID]],products!A:A,products!C:C,"Not Found")</f>
        <v>Accessories</v>
      </c>
      <c r="M124" t="str">
        <f>_xlfn.XLOOKUP(C124,customers!A:A,customers!B:B,"Not Found")</f>
        <v>Anjali Kulkarni</v>
      </c>
      <c r="N124" t="str">
        <f>_xlfn.XLOOKUP(C123,customers!A:A,customers!C:C,"Not Found")</f>
        <v>Bhopal</v>
      </c>
      <c r="O124" t="str">
        <f>IF(Sales_Data[[#This Row],[Total_Sales]]&gt;=50000,"High","Low")</f>
        <v>Low</v>
      </c>
    </row>
    <row r="125" spans="1:15" x14ac:dyDescent="0.3">
      <c r="A125">
        <v>1124</v>
      </c>
      <c r="B125" s="4">
        <v>46192</v>
      </c>
      <c r="C125" t="s">
        <v>15</v>
      </c>
      <c r="D125" t="s">
        <v>54</v>
      </c>
      <c r="E125">
        <v>2</v>
      </c>
      <c r="F125">
        <v>15000</v>
      </c>
      <c r="G125" t="s">
        <v>75</v>
      </c>
      <c r="H125" t="s">
        <v>76</v>
      </c>
      <c r="I125" t="s">
        <v>87</v>
      </c>
      <c r="J125">
        <v>30000</v>
      </c>
      <c r="K125" t="str">
        <f>_xlfn.XLOOKUP(Sales_Data[[#This Row],[Product_ID]],products!A:A,products!B:B,"Not Found")</f>
        <v>Monitor</v>
      </c>
      <c r="L125" t="str">
        <f>_xlfn.XLOOKUP(Sales_Data[[#This Row],[Product_ID]],products!A:A,products!C:C,"Not Found")</f>
        <v>Electronics</v>
      </c>
      <c r="M125" t="str">
        <f>_xlfn.XLOOKUP(C125,customers!A:A,customers!B:B,"Not Found")</f>
        <v>Rohit Singh</v>
      </c>
      <c r="N125" t="str">
        <f>_xlfn.XLOOKUP(C124,customers!A:A,customers!C:C,"Not Found")</f>
        <v>Nagpur</v>
      </c>
      <c r="O125" t="str">
        <f>IF(Sales_Data[[#This Row],[Total_Sales]]&gt;=50000,"High","Low")</f>
        <v>Low</v>
      </c>
    </row>
    <row r="126" spans="1:15" x14ac:dyDescent="0.3">
      <c r="A126">
        <v>1125</v>
      </c>
      <c r="B126" s="4">
        <v>46063</v>
      </c>
      <c r="C126" t="s">
        <v>6</v>
      </c>
      <c r="D126" t="s">
        <v>64</v>
      </c>
      <c r="E126">
        <v>1</v>
      </c>
      <c r="F126">
        <v>900</v>
      </c>
      <c r="G126" t="s">
        <v>89</v>
      </c>
      <c r="H126" t="s">
        <v>88</v>
      </c>
      <c r="I126" t="s">
        <v>81</v>
      </c>
      <c r="J126">
        <v>900</v>
      </c>
      <c r="K126" t="str">
        <f>_xlfn.XLOOKUP(Sales_Data[[#This Row],[Product_ID]],products!A:A,products!B:B,"Not Found")</f>
        <v>USB Drive</v>
      </c>
      <c r="L126" t="str">
        <f>_xlfn.XLOOKUP(Sales_Data[[#This Row],[Product_ID]],products!A:A,products!C:C,"Not Found")</f>
        <v>Accessories</v>
      </c>
      <c r="M126" t="str">
        <f>_xlfn.XLOOKUP(C126,customers!A:A,customers!B:B,"Not Found")</f>
        <v>Priya Patil</v>
      </c>
      <c r="N126" t="str">
        <f>_xlfn.XLOOKUP(C125,customers!A:A,customers!C:C,"Not Found")</f>
        <v>Delhi</v>
      </c>
      <c r="O126" t="str">
        <f>IF(Sales_Data[[#This Row],[Total_Sales]]&gt;=50000,"High","Low")</f>
        <v>Low</v>
      </c>
    </row>
    <row r="127" spans="1:15" x14ac:dyDescent="0.3">
      <c r="A127">
        <v>1126</v>
      </c>
      <c r="B127" s="4">
        <v>46082</v>
      </c>
      <c r="C127" t="s">
        <v>3</v>
      </c>
      <c r="D127" t="s">
        <v>56</v>
      </c>
      <c r="E127">
        <v>5</v>
      </c>
      <c r="F127">
        <v>3500</v>
      </c>
      <c r="G127" t="s">
        <v>86</v>
      </c>
      <c r="H127" t="s">
        <v>83</v>
      </c>
      <c r="I127" t="s">
        <v>81</v>
      </c>
      <c r="J127">
        <v>17500</v>
      </c>
      <c r="K127" t="str">
        <f>_xlfn.XLOOKUP(Sales_Data[[#This Row],[Product_ID]],products!A:A,products!B:B,"Not Found")</f>
        <v>Headphones</v>
      </c>
      <c r="L127" t="str">
        <f>_xlfn.XLOOKUP(Sales_Data[[#This Row],[Product_ID]],products!A:A,products!C:C,"Not Found")</f>
        <v>Accessories</v>
      </c>
      <c r="M127" t="str">
        <f>_xlfn.XLOOKUP(C127,customers!A:A,customers!B:B,"Not Found")</f>
        <v>Rahul Sharma</v>
      </c>
      <c r="N127" t="str">
        <f>_xlfn.XLOOKUP(C126,customers!A:A,customers!C:C,"Not Found")</f>
        <v>Pune</v>
      </c>
      <c r="O127" t="str">
        <f>IF(Sales_Data[[#This Row],[Total_Sales]]&gt;=50000,"High","Low")</f>
        <v>Low</v>
      </c>
    </row>
    <row r="128" spans="1:15" x14ac:dyDescent="0.3">
      <c r="A128">
        <v>1127</v>
      </c>
      <c r="B128" s="4">
        <v>46082</v>
      </c>
      <c r="C128" t="s">
        <v>32</v>
      </c>
      <c r="D128" t="s">
        <v>49</v>
      </c>
      <c r="E128">
        <v>5</v>
      </c>
      <c r="F128">
        <v>2500</v>
      </c>
      <c r="G128" t="s">
        <v>86</v>
      </c>
      <c r="H128" t="s">
        <v>84</v>
      </c>
      <c r="I128" t="s">
        <v>87</v>
      </c>
      <c r="J128">
        <v>12500</v>
      </c>
      <c r="K128" t="str">
        <f>_xlfn.XLOOKUP(Sales_Data[[#This Row],[Product_ID]],products!A:A,products!B:B,"Not Found")</f>
        <v>Keyboard</v>
      </c>
      <c r="L128" t="str">
        <f>_xlfn.XLOOKUP(Sales_Data[[#This Row],[Product_ID]],products!A:A,products!C:C,"Not Found")</f>
        <v>Accessories</v>
      </c>
      <c r="M128" t="str">
        <f>_xlfn.XLOOKUP(C128,customers!A:A,customers!B:B,"Not Found")</f>
        <v>Sahil Khan</v>
      </c>
      <c r="N128" t="str">
        <f>_xlfn.XLOOKUP(C127,customers!A:A,customers!C:C,"Not Found")</f>
        <v>Nagpur</v>
      </c>
      <c r="O128" t="str">
        <f>IF(Sales_Data[[#This Row],[Total_Sales]]&gt;=50000,"High","Low")</f>
        <v>Low</v>
      </c>
    </row>
    <row r="129" spans="1:15" x14ac:dyDescent="0.3">
      <c r="A129">
        <v>1128</v>
      </c>
      <c r="B129" s="4">
        <v>46162</v>
      </c>
      <c r="C129" t="s">
        <v>6</v>
      </c>
      <c r="D129" t="s">
        <v>60</v>
      </c>
      <c r="E129">
        <v>4</v>
      </c>
      <c r="F129">
        <v>22000</v>
      </c>
      <c r="G129" t="s">
        <v>86</v>
      </c>
      <c r="H129" t="s">
        <v>76</v>
      </c>
      <c r="I129" t="s">
        <v>85</v>
      </c>
      <c r="J129">
        <v>88000</v>
      </c>
      <c r="K129" t="str">
        <f>_xlfn.XLOOKUP(Sales_Data[[#This Row],[Product_ID]],products!A:A,products!B:B,"Not Found")</f>
        <v>Tablet</v>
      </c>
      <c r="L129" t="str">
        <f>_xlfn.XLOOKUP(Sales_Data[[#This Row],[Product_ID]],products!A:A,products!C:C,"Not Found")</f>
        <v>Electronics</v>
      </c>
      <c r="M129" t="str">
        <f>_xlfn.XLOOKUP(C129,customers!A:A,customers!B:B,"Not Found")</f>
        <v>Priya Patil</v>
      </c>
      <c r="N129" t="str">
        <f>_xlfn.XLOOKUP(C128,customers!A:A,customers!C:C,"Not Found")</f>
        <v>Pune</v>
      </c>
      <c r="O129" t="str">
        <f>IF(Sales_Data[[#This Row],[Total_Sales]]&gt;=50000,"High","Low")</f>
        <v>High</v>
      </c>
    </row>
    <row r="130" spans="1:15" x14ac:dyDescent="0.3">
      <c r="A130">
        <v>1129</v>
      </c>
      <c r="B130" s="4">
        <v>46038</v>
      </c>
      <c r="C130" t="s">
        <v>6</v>
      </c>
      <c r="D130" t="s">
        <v>52</v>
      </c>
      <c r="E130">
        <v>3</v>
      </c>
      <c r="F130">
        <v>800</v>
      </c>
      <c r="G130" t="s">
        <v>82</v>
      </c>
      <c r="H130" t="s">
        <v>84</v>
      </c>
      <c r="I130" t="s">
        <v>85</v>
      </c>
      <c r="J130">
        <v>2400</v>
      </c>
      <c r="K130" t="str">
        <f>_xlfn.XLOOKUP(Sales_Data[[#This Row],[Product_ID]],products!A:A,products!B:B,"Not Found")</f>
        <v>Mouse</v>
      </c>
      <c r="L130" t="str">
        <f>_xlfn.XLOOKUP(Sales_Data[[#This Row],[Product_ID]],products!A:A,products!C:C,"Not Found")</f>
        <v>Accessories</v>
      </c>
      <c r="M130" t="str">
        <f>_xlfn.XLOOKUP(C130,customers!A:A,customers!B:B,"Not Found")</f>
        <v>Priya Patil</v>
      </c>
      <c r="N130" t="str">
        <f>_xlfn.XLOOKUP(C129,customers!A:A,customers!C:C,"Not Found")</f>
        <v>Pune</v>
      </c>
      <c r="O130" t="str">
        <f>IF(Sales_Data[[#This Row],[Total_Sales]]&gt;=50000,"High","Low")</f>
        <v>Low</v>
      </c>
    </row>
    <row r="131" spans="1:15" x14ac:dyDescent="0.3">
      <c r="A131">
        <v>1130</v>
      </c>
      <c r="B131" s="4">
        <v>46142</v>
      </c>
      <c r="C131" t="s">
        <v>6</v>
      </c>
      <c r="D131" t="s">
        <v>62</v>
      </c>
      <c r="E131">
        <v>5</v>
      </c>
      <c r="F131">
        <v>3000</v>
      </c>
      <c r="G131" t="s">
        <v>86</v>
      </c>
      <c r="H131" t="s">
        <v>88</v>
      </c>
      <c r="I131" t="s">
        <v>85</v>
      </c>
      <c r="J131">
        <v>15000</v>
      </c>
      <c r="K131" t="str">
        <f>_xlfn.XLOOKUP(Sales_Data[[#This Row],[Product_ID]],products!A:A,products!B:B,"Not Found")</f>
        <v>Webcam</v>
      </c>
      <c r="L131" t="str">
        <f>_xlfn.XLOOKUP(Sales_Data[[#This Row],[Product_ID]],products!A:A,products!C:C,"Not Found")</f>
        <v>Accessories</v>
      </c>
      <c r="M131" t="str">
        <f>_xlfn.XLOOKUP(C131,customers!A:A,customers!B:B,"Not Found")</f>
        <v>Priya Patil</v>
      </c>
      <c r="N131" t="str">
        <f>_xlfn.XLOOKUP(C130,customers!A:A,customers!C:C,"Not Found")</f>
        <v>Pune</v>
      </c>
      <c r="O131" t="str">
        <f>IF(Sales_Data[[#This Row],[Total_Sales]]&gt;=50000,"High","Low")</f>
        <v>Low</v>
      </c>
    </row>
    <row r="132" spans="1:15" x14ac:dyDescent="0.3">
      <c r="A132">
        <v>1131</v>
      </c>
      <c r="B132" s="4">
        <v>46149</v>
      </c>
      <c r="C132" t="s">
        <v>27</v>
      </c>
      <c r="D132" t="s">
        <v>64</v>
      </c>
      <c r="E132">
        <v>8</v>
      </c>
      <c r="F132">
        <v>900</v>
      </c>
      <c r="G132" t="s">
        <v>78</v>
      </c>
      <c r="H132" t="s">
        <v>84</v>
      </c>
      <c r="I132" t="s">
        <v>77</v>
      </c>
      <c r="J132">
        <v>7200</v>
      </c>
      <c r="K132" t="str">
        <f>_xlfn.XLOOKUP(Sales_Data[[#This Row],[Product_ID]],products!A:A,products!B:B,"Not Found")</f>
        <v>USB Drive</v>
      </c>
      <c r="L132" t="str">
        <f>_xlfn.XLOOKUP(Sales_Data[[#This Row],[Product_ID]],products!A:A,products!C:C,"Not Found")</f>
        <v>Accessories</v>
      </c>
      <c r="M132" t="str">
        <f>_xlfn.XLOOKUP(C132,customers!A:A,customers!B:B,"Not Found")</f>
        <v>Vikas Yadav</v>
      </c>
      <c r="N132" t="str">
        <f>_xlfn.XLOOKUP(C131,customers!A:A,customers!C:C,"Not Found")</f>
        <v>Pune</v>
      </c>
      <c r="O132" t="str">
        <f>IF(Sales_Data[[#This Row],[Total_Sales]]&gt;=50000,"High","Low")</f>
        <v>Low</v>
      </c>
    </row>
    <row r="133" spans="1:15" x14ac:dyDescent="0.3">
      <c r="A133">
        <v>1132</v>
      </c>
      <c r="B133" s="4">
        <v>46105</v>
      </c>
      <c r="C133" t="s">
        <v>34</v>
      </c>
      <c r="D133" t="s">
        <v>60</v>
      </c>
      <c r="E133">
        <v>5</v>
      </c>
      <c r="F133">
        <v>22000</v>
      </c>
      <c r="G133" t="s">
        <v>78</v>
      </c>
      <c r="H133" t="s">
        <v>79</v>
      </c>
      <c r="I133" t="s">
        <v>87</v>
      </c>
      <c r="J133">
        <v>110000</v>
      </c>
      <c r="K133" t="str">
        <f>_xlfn.XLOOKUP(Sales_Data[[#This Row],[Product_ID]],products!A:A,products!B:B,"Not Found")</f>
        <v>Tablet</v>
      </c>
      <c r="L133" t="str">
        <f>_xlfn.XLOOKUP(Sales_Data[[#This Row],[Product_ID]],products!A:A,products!C:C,"Not Found")</f>
        <v>Electronics</v>
      </c>
      <c r="M133" t="str">
        <f>_xlfn.XLOOKUP(C133,customers!A:A,customers!B:B,"Not Found")</f>
        <v>Riya Shah</v>
      </c>
      <c r="N133" t="str">
        <f>_xlfn.XLOOKUP(C132,customers!A:A,customers!C:C,"Not Found")</f>
        <v>Thane</v>
      </c>
      <c r="O133" t="str">
        <f>IF(Sales_Data[[#This Row],[Total_Sales]]&gt;=50000,"High","Low")</f>
        <v>High</v>
      </c>
    </row>
    <row r="134" spans="1:15" x14ac:dyDescent="0.3">
      <c r="A134">
        <v>1133</v>
      </c>
      <c r="B134" s="4">
        <v>46028</v>
      </c>
      <c r="C134" t="s">
        <v>30</v>
      </c>
      <c r="D134" t="s">
        <v>66</v>
      </c>
      <c r="E134">
        <v>5</v>
      </c>
      <c r="F134">
        <v>30000</v>
      </c>
      <c r="G134" t="s">
        <v>80</v>
      </c>
      <c r="H134" t="s">
        <v>79</v>
      </c>
      <c r="I134" t="s">
        <v>87</v>
      </c>
      <c r="J134">
        <v>150000</v>
      </c>
      <c r="K134" t="str">
        <f>_xlfn.XLOOKUP(Sales_Data[[#This Row],[Product_ID]],products!A:A,products!B:B,"Not Found")</f>
        <v>Smartphone</v>
      </c>
      <c r="L134" t="str">
        <f>_xlfn.XLOOKUP(Sales_Data[[#This Row],[Product_ID]],products!A:A,products!C:C,"Not Found")</f>
        <v>Electronics</v>
      </c>
      <c r="M134" t="str">
        <f>_xlfn.XLOOKUP(C134,customers!A:A,customers!B:B,"Not Found")</f>
        <v>Anjali Kulkarni</v>
      </c>
      <c r="N134" t="str">
        <f>_xlfn.XLOOKUP(C133,customers!A:A,customers!C:C,"Not Found")</f>
        <v>Mumbai</v>
      </c>
      <c r="O134" t="str">
        <f>IF(Sales_Data[[#This Row],[Total_Sales]]&gt;=50000,"High","Low")</f>
        <v>High</v>
      </c>
    </row>
    <row r="135" spans="1:15" x14ac:dyDescent="0.3">
      <c r="A135">
        <v>1134</v>
      </c>
      <c r="B135" s="4">
        <v>46189</v>
      </c>
      <c r="C135" t="s">
        <v>27</v>
      </c>
      <c r="D135" t="s">
        <v>62</v>
      </c>
      <c r="E135">
        <v>8</v>
      </c>
      <c r="F135">
        <v>3000</v>
      </c>
      <c r="G135" t="s">
        <v>82</v>
      </c>
      <c r="H135" t="s">
        <v>76</v>
      </c>
      <c r="I135" t="s">
        <v>81</v>
      </c>
      <c r="J135">
        <v>24000</v>
      </c>
      <c r="K135" t="str">
        <f>_xlfn.XLOOKUP(Sales_Data[[#This Row],[Product_ID]],products!A:A,products!B:B,"Not Found")</f>
        <v>Webcam</v>
      </c>
      <c r="L135" t="str">
        <f>_xlfn.XLOOKUP(Sales_Data[[#This Row],[Product_ID]],products!A:A,products!C:C,"Not Found")</f>
        <v>Accessories</v>
      </c>
      <c r="M135" t="str">
        <f>_xlfn.XLOOKUP(C135,customers!A:A,customers!B:B,"Not Found")</f>
        <v>Vikas Yadav</v>
      </c>
      <c r="N135" t="str">
        <f>_xlfn.XLOOKUP(C134,customers!A:A,customers!C:C,"Not Found")</f>
        <v>Nagpur</v>
      </c>
      <c r="O135" t="str">
        <f>IF(Sales_Data[[#This Row],[Total_Sales]]&gt;=50000,"High","Low")</f>
        <v>Low</v>
      </c>
    </row>
    <row r="136" spans="1:15" x14ac:dyDescent="0.3">
      <c r="A136">
        <v>1135</v>
      </c>
      <c r="B136" s="4">
        <v>46143</v>
      </c>
      <c r="C136" t="s">
        <v>6</v>
      </c>
      <c r="D136" t="s">
        <v>62</v>
      </c>
      <c r="E136">
        <v>6</v>
      </c>
      <c r="F136">
        <v>3000</v>
      </c>
      <c r="G136" t="s">
        <v>89</v>
      </c>
      <c r="H136" t="s">
        <v>83</v>
      </c>
      <c r="I136" t="s">
        <v>85</v>
      </c>
      <c r="J136">
        <v>18000</v>
      </c>
      <c r="K136" t="str">
        <f>_xlfn.XLOOKUP(Sales_Data[[#This Row],[Product_ID]],products!A:A,products!B:B,"Not Found")</f>
        <v>Webcam</v>
      </c>
      <c r="L136" t="str">
        <f>_xlfn.XLOOKUP(Sales_Data[[#This Row],[Product_ID]],products!A:A,products!C:C,"Not Found")</f>
        <v>Accessories</v>
      </c>
      <c r="M136" t="str">
        <f>_xlfn.XLOOKUP(C136,customers!A:A,customers!B:B,"Not Found")</f>
        <v>Priya Patil</v>
      </c>
      <c r="N136" t="str">
        <f>_xlfn.XLOOKUP(C135,customers!A:A,customers!C:C,"Not Found")</f>
        <v>Thane</v>
      </c>
      <c r="O136" t="str">
        <f>IF(Sales_Data[[#This Row],[Total_Sales]]&gt;=50000,"High","Low")</f>
        <v>Low</v>
      </c>
    </row>
    <row r="137" spans="1:15" x14ac:dyDescent="0.3">
      <c r="A137">
        <v>1136</v>
      </c>
      <c r="B137" s="4">
        <v>46064</v>
      </c>
      <c r="C137" t="s">
        <v>38</v>
      </c>
      <c r="D137" t="s">
        <v>49</v>
      </c>
      <c r="E137">
        <v>6</v>
      </c>
      <c r="F137">
        <v>2500</v>
      </c>
      <c r="G137" t="s">
        <v>89</v>
      </c>
      <c r="H137" t="s">
        <v>88</v>
      </c>
      <c r="I137" t="s">
        <v>85</v>
      </c>
      <c r="J137">
        <v>15000</v>
      </c>
      <c r="K137" t="str">
        <f>_xlfn.XLOOKUP(Sales_Data[[#This Row],[Product_ID]],products!A:A,products!B:B,"Not Found")</f>
        <v>Keyboard</v>
      </c>
      <c r="L137" t="str">
        <f>_xlfn.XLOOKUP(Sales_Data[[#This Row],[Product_ID]],products!A:A,products!C:C,"Not Found")</f>
        <v>Accessories</v>
      </c>
      <c r="M137" t="str">
        <f>_xlfn.XLOOKUP(C137,customers!A:A,customers!B:B,"Not Found")</f>
        <v>Komal Pawar</v>
      </c>
      <c r="N137" t="str">
        <f>_xlfn.XLOOKUP(C136,customers!A:A,customers!C:C,"Not Found")</f>
        <v>Pune</v>
      </c>
      <c r="O137" t="str">
        <f>IF(Sales_Data[[#This Row],[Total_Sales]]&gt;=50000,"High","Low")</f>
        <v>Low</v>
      </c>
    </row>
    <row r="138" spans="1:15" x14ac:dyDescent="0.3">
      <c r="A138">
        <v>1137</v>
      </c>
      <c r="B138" s="4">
        <v>46163</v>
      </c>
      <c r="C138" t="s">
        <v>38</v>
      </c>
      <c r="D138" t="s">
        <v>60</v>
      </c>
      <c r="E138">
        <v>1</v>
      </c>
      <c r="F138">
        <v>22000</v>
      </c>
      <c r="G138" t="s">
        <v>89</v>
      </c>
      <c r="H138" t="s">
        <v>79</v>
      </c>
      <c r="I138" t="s">
        <v>85</v>
      </c>
      <c r="J138">
        <v>22000</v>
      </c>
      <c r="K138" t="str">
        <f>_xlfn.XLOOKUP(Sales_Data[[#This Row],[Product_ID]],products!A:A,products!B:B,"Not Found")</f>
        <v>Tablet</v>
      </c>
      <c r="L138" t="str">
        <f>_xlfn.XLOOKUP(Sales_Data[[#This Row],[Product_ID]],products!A:A,products!C:C,"Not Found")</f>
        <v>Electronics</v>
      </c>
      <c r="M138" t="str">
        <f>_xlfn.XLOOKUP(C138,customers!A:A,customers!B:B,"Not Found")</f>
        <v>Komal Pawar</v>
      </c>
      <c r="N138" t="str">
        <f>_xlfn.XLOOKUP(C137,customers!A:A,customers!C:C,"Not Found")</f>
        <v>Indore</v>
      </c>
      <c r="O138" t="str">
        <f>IF(Sales_Data[[#This Row],[Total_Sales]]&gt;=50000,"High","Low")</f>
        <v>Low</v>
      </c>
    </row>
    <row r="139" spans="1:15" x14ac:dyDescent="0.3">
      <c r="A139">
        <v>1138</v>
      </c>
      <c r="B139" s="4">
        <v>46052</v>
      </c>
      <c r="C139" t="s">
        <v>18</v>
      </c>
      <c r="D139" t="s">
        <v>56</v>
      </c>
      <c r="E139">
        <v>7</v>
      </c>
      <c r="F139">
        <v>3500</v>
      </c>
      <c r="G139" t="s">
        <v>80</v>
      </c>
      <c r="H139" t="s">
        <v>79</v>
      </c>
      <c r="I139" t="s">
        <v>81</v>
      </c>
      <c r="J139">
        <v>24500</v>
      </c>
      <c r="K139" t="str">
        <f>_xlfn.XLOOKUP(Sales_Data[[#This Row],[Product_ID]],products!A:A,products!B:B,"Not Found")</f>
        <v>Headphones</v>
      </c>
      <c r="L139" t="str">
        <f>_xlfn.XLOOKUP(Sales_Data[[#This Row],[Product_ID]],products!A:A,products!C:C,"Not Found")</f>
        <v>Accessories</v>
      </c>
      <c r="M139" t="str">
        <f>_xlfn.XLOOKUP(C139,customers!A:A,customers!B:B,"Not Found")</f>
        <v>Neha Gupta</v>
      </c>
      <c r="N139" t="str">
        <f>_xlfn.XLOOKUP(C138,customers!A:A,customers!C:C,"Not Found")</f>
        <v>Indore</v>
      </c>
      <c r="O139" t="str">
        <f>IF(Sales_Data[[#This Row],[Total_Sales]]&gt;=50000,"High","Low")</f>
        <v>Low</v>
      </c>
    </row>
    <row r="140" spans="1:15" x14ac:dyDescent="0.3">
      <c r="A140">
        <v>1139</v>
      </c>
      <c r="B140" s="4">
        <v>46071</v>
      </c>
      <c r="C140" t="s">
        <v>3</v>
      </c>
      <c r="D140" t="s">
        <v>60</v>
      </c>
      <c r="E140">
        <v>6</v>
      </c>
      <c r="F140">
        <v>22000</v>
      </c>
      <c r="G140" t="s">
        <v>80</v>
      </c>
      <c r="H140" t="s">
        <v>88</v>
      </c>
      <c r="I140" t="s">
        <v>81</v>
      </c>
      <c r="J140">
        <v>132000</v>
      </c>
      <c r="K140" t="str">
        <f>_xlfn.XLOOKUP(Sales_Data[[#This Row],[Product_ID]],products!A:A,products!B:B,"Not Found")</f>
        <v>Tablet</v>
      </c>
      <c r="L140" t="str">
        <f>_xlfn.XLOOKUP(Sales_Data[[#This Row],[Product_ID]],products!A:A,products!C:C,"Not Found")</f>
        <v>Electronics</v>
      </c>
      <c r="M140" t="str">
        <f>_xlfn.XLOOKUP(C140,customers!A:A,customers!B:B,"Not Found")</f>
        <v>Rahul Sharma</v>
      </c>
      <c r="N140" t="str">
        <f>_xlfn.XLOOKUP(C139,customers!A:A,customers!C:C,"Not Found")</f>
        <v>Indore</v>
      </c>
      <c r="O140" t="str">
        <f>IF(Sales_Data[[#This Row],[Total_Sales]]&gt;=50000,"High","Low")</f>
        <v>High</v>
      </c>
    </row>
    <row r="141" spans="1:15" x14ac:dyDescent="0.3">
      <c r="A141">
        <v>1140</v>
      </c>
      <c r="B141" s="4">
        <v>46091</v>
      </c>
      <c r="C141" t="s">
        <v>12</v>
      </c>
      <c r="D141" t="s">
        <v>46</v>
      </c>
      <c r="E141">
        <v>3</v>
      </c>
      <c r="F141">
        <v>55000</v>
      </c>
      <c r="G141" t="s">
        <v>82</v>
      </c>
      <c r="H141" t="s">
        <v>88</v>
      </c>
      <c r="I141" t="s">
        <v>81</v>
      </c>
      <c r="J141">
        <v>165000</v>
      </c>
      <c r="K141" t="str">
        <f>_xlfn.XLOOKUP(Sales_Data[[#This Row],[Product_ID]],products!A:A,products!B:B,"Not Found")</f>
        <v>Laptop</v>
      </c>
      <c r="L141" t="str">
        <f>_xlfn.XLOOKUP(Sales_Data[[#This Row],[Product_ID]],products!A:A,products!C:C,"Not Found")</f>
        <v>Electronics</v>
      </c>
      <c r="M141" t="str">
        <f>_xlfn.XLOOKUP(C141,customers!A:A,customers!B:B,"Not Found")</f>
        <v>Sneha Joshi</v>
      </c>
      <c r="N141" t="str">
        <f>_xlfn.XLOOKUP(C140,customers!A:A,customers!C:C,"Not Found")</f>
        <v>Nagpur</v>
      </c>
      <c r="O141" t="str">
        <f>IF(Sales_Data[[#This Row],[Total_Sales]]&gt;=50000,"High","Low")</f>
        <v>High</v>
      </c>
    </row>
    <row r="142" spans="1:15" x14ac:dyDescent="0.3">
      <c r="A142">
        <v>1141</v>
      </c>
      <c r="B142" s="4">
        <v>46184</v>
      </c>
      <c r="C142" t="s">
        <v>3</v>
      </c>
      <c r="D142" t="s">
        <v>49</v>
      </c>
      <c r="E142">
        <v>4</v>
      </c>
      <c r="F142">
        <v>2500</v>
      </c>
      <c r="G142" t="s">
        <v>86</v>
      </c>
      <c r="H142" t="s">
        <v>76</v>
      </c>
      <c r="I142" t="s">
        <v>85</v>
      </c>
      <c r="J142">
        <v>10000</v>
      </c>
      <c r="K142" t="str">
        <f>_xlfn.XLOOKUP(Sales_Data[[#This Row],[Product_ID]],products!A:A,products!B:B,"Not Found")</f>
        <v>Keyboard</v>
      </c>
      <c r="L142" t="str">
        <f>_xlfn.XLOOKUP(Sales_Data[[#This Row],[Product_ID]],products!A:A,products!C:C,"Not Found")</f>
        <v>Accessories</v>
      </c>
      <c r="M142" t="str">
        <f>_xlfn.XLOOKUP(C142,customers!A:A,customers!B:B,"Not Found")</f>
        <v>Rahul Sharma</v>
      </c>
      <c r="N142" t="str">
        <f>_xlfn.XLOOKUP(C141,customers!A:A,customers!C:C,"Not Found")</f>
        <v>Nashik</v>
      </c>
      <c r="O142" t="str">
        <f>IF(Sales_Data[[#This Row],[Total_Sales]]&gt;=50000,"High","Low")</f>
        <v>Low</v>
      </c>
    </row>
    <row r="143" spans="1:15" x14ac:dyDescent="0.3">
      <c r="A143">
        <v>1142</v>
      </c>
      <c r="B143" s="4">
        <v>46164</v>
      </c>
      <c r="C143" t="s">
        <v>3</v>
      </c>
      <c r="D143" t="s">
        <v>64</v>
      </c>
      <c r="E143">
        <v>7</v>
      </c>
      <c r="F143">
        <v>900</v>
      </c>
      <c r="G143" t="s">
        <v>78</v>
      </c>
      <c r="H143" t="s">
        <v>76</v>
      </c>
      <c r="I143" t="s">
        <v>77</v>
      </c>
      <c r="J143">
        <v>6300</v>
      </c>
      <c r="K143" t="str">
        <f>_xlfn.XLOOKUP(Sales_Data[[#This Row],[Product_ID]],products!A:A,products!B:B,"Not Found")</f>
        <v>USB Drive</v>
      </c>
      <c r="L143" t="str">
        <f>_xlfn.XLOOKUP(Sales_Data[[#This Row],[Product_ID]],products!A:A,products!C:C,"Not Found")</f>
        <v>Accessories</v>
      </c>
      <c r="M143" t="str">
        <f>_xlfn.XLOOKUP(C143,customers!A:A,customers!B:B,"Not Found")</f>
        <v>Rahul Sharma</v>
      </c>
      <c r="N143" t="str">
        <f>_xlfn.XLOOKUP(C142,customers!A:A,customers!C:C,"Not Found")</f>
        <v>Nagpur</v>
      </c>
      <c r="O143" t="str">
        <f>IF(Sales_Data[[#This Row],[Total_Sales]]&gt;=50000,"High","Low")</f>
        <v>Low</v>
      </c>
    </row>
    <row r="144" spans="1:15" x14ac:dyDescent="0.3">
      <c r="A144">
        <v>1143</v>
      </c>
      <c r="B144" s="4">
        <v>46188</v>
      </c>
      <c r="C144" t="s">
        <v>6</v>
      </c>
      <c r="D144" t="s">
        <v>62</v>
      </c>
      <c r="E144">
        <v>3</v>
      </c>
      <c r="F144">
        <v>3000</v>
      </c>
      <c r="G144" t="s">
        <v>89</v>
      </c>
      <c r="H144" t="s">
        <v>83</v>
      </c>
      <c r="I144" t="s">
        <v>85</v>
      </c>
      <c r="J144">
        <v>9000</v>
      </c>
      <c r="K144" t="str">
        <f>_xlfn.XLOOKUP(Sales_Data[[#This Row],[Product_ID]],products!A:A,products!B:B,"Not Found")</f>
        <v>Webcam</v>
      </c>
      <c r="L144" t="str">
        <f>_xlfn.XLOOKUP(Sales_Data[[#This Row],[Product_ID]],products!A:A,products!C:C,"Not Found")</f>
        <v>Accessories</v>
      </c>
      <c r="M144" t="str">
        <f>_xlfn.XLOOKUP(C144,customers!A:A,customers!B:B,"Not Found")</f>
        <v>Priya Patil</v>
      </c>
      <c r="N144" t="str">
        <f>_xlfn.XLOOKUP(C143,customers!A:A,customers!C:C,"Not Found")</f>
        <v>Nagpur</v>
      </c>
      <c r="O144" t="str">
        <f>IF(Sales_Data[[#This Row],[Total_Sales]]&gt;=50000,"High","Low")</f>
        <v>Low</v>
      </c>
    </row>
    <row r="145" spans="1:15" x14ac:dyDescent="0.3">
      <c r="A145">
        <v>1144</v>
      </c>
      <c r="B145" s="4">
        <v>46146</v>
      </c>
      <c r="C145" t="s">
        <v>38</v>
      </c>
      <c r="D145" t="s">
        <v>60</v>
      </c>
      <c r="E145">
        <v>8</v>
      </c>
      <c r="F145">
        <v>22000</v>
      </c>
      <c r="G145" t="s">
        <v>75</v>
      </c>
      <c r="H145" t="s">
        <v>88</v>
      </c>
      <c r="I145" t="s">
        <v>87</v>
      </c>
      <c r="J145">
        <v>176000</v>
      </c>
      <c r="K145" t="str">
        <f>_xlfn.XLOOKUP(Sales_Data[[#This Row],[Product_ID]],products!A:A,products!B:B,"Not Found")</f>
        <v>Tablet</v>
      </c>
      <c r="L145" t="str">
        <f>_xlfn.XLOOKUP(Sales_Data[[#This Row],[Product_ID]],products!A:A,products!C:C,"Not Found")</f>
        <v>Electronics</v>
      </c>
      <c r="M145" t="str">
        <f>_xlfn.XLOOKUP(C145,customers!A:A,customers!B:B,"Not Found")</f>
        <v>Komal Pawar</v>
      </c>
      <c r="N145" t="str">
        <f>_xlfn.XLOOKUP(C144,customers!A:A,customers!C:C,"Not Found")</f>
        <v>Pune</v>
      </c>
      <c r="O145" t="str">
        <f>IF(Sales_Data[[#This Row],[Total_Sales]]&gt;=50000,"High","Low")</f>
        <v>High</v>
      </c>
    </row>
    <row r="146" spans="1:15" x14ac:dyDescent="0.3">
      <c r="A146">
        <v>1145</v>
      </c>
      <c r="B146" s="4">
        <v>46176</v>
      </c>
      <c r="C146" t="s">
        <v>12</v>
      </c>
      <c r="D146" t="s">
        <v>60</v>
      </c>
      <c r="E146">
        <v>3</v>
      </c>
      <c r="F146">
        <v>22000</v>
      </c>
      <c r="G146" t="s">
        <v>78</v>
      </c>
      <c r="H146" t="s">
        <v>83</v>
      </c>
      <c r="I146" t="s">
        <v>81</v>
      </c>
      <c r="J146">
        <v>66000</v>
      </c>
      <c r="K146" t="str">
        <f>_xlfn.XLOOKUP(Sales_Data[[#This Row],[Product_ID]],products!A:A,products!B:B,"Not Found")</f>
        <v>Tablet</v>
      </c>
      <c r="L146" t="str">
        <f>_xlfn.XLOOKUP(Sales_Data[[#This Row],[Product_ID]],products!A:A,products!C:C,"Not Found")</f>
        <v>Electronics</v>
      </c>
      <c r="M146" t="str">
        <f>_xlfn.XLOOKUP(C146,customers!A:A,customers!B:B,"Not Found")</f>
        <v>Sneha Joshi</v>
      </c>
      <c r="N146" t="str">
        <f>_xlfn.XLOOKUP(C145,customers!A:A,customers!C:C,"Not Found")</f>
        <v>Indore</v>
      </c>
      <c r="O146" t="str">
        <f>IF(Sales_Data[[#This Row],[Total_Sales]]&gt;=50000,"High","Low")</f>
        <v>High</v>
      </c>
    </row>
    <row r="147" spans="1:15" x14ac:dyDescent="0.3">
      <c r="A147">
        <v>1146</v>
      </c>
      <c r="B147" s="4">
        <v>46152</v>
      </c>
      <c r="C147" t="s">
        <v>40</v>
      </c>
      <c r="D147" t="s">
        <v>58</v>
      </c>
      <c r="E147">
        <v>5</v>
      </c>
      <c r="F147">
        <v>12000</v>
      </c>
      <c r="G147" t="s">
        <v>78</v>
      </c>
      <c r="H147" t="s">
        <v>83</v>
      </c>
      <c r="I147" t="s">
        <v>85</v>
      </c>
      <c r="J147">
        <v>60000</v>
      </c>
      <c r="K147" t="str">
        <f>_xlfn.XLOOKUP(Sales_Data[[#This Row],[Product_ID]],products!A:A,products!B:B,"Not Found")</f>
        <v>Printer</v>
      </c>
      <c r="L147" t="str">
        <f>_xlfn.XLOOKUP(Sales_Data[[#This Row],[Product_ID]],products!A:A,products!C:C,"Not Found")</f>
        <v>Electronics</v>
      </c>
      <c r="M147" t="str">
        <f>_xlfn.XLOOKUP(C147,customers!A:A,customers!B:B,"Not Found")</f>
        <v>Nitin More</v>
      </c>
      <c r="N147" t="str">
        <f>_xlfn.XLOOKUP(C146,customers!A:A,customers!C:C,"Not Found")</f>
        <v>Nashik</v>
      </c>
      <c r="O147" t="str">
        <f>IF(Sales_Data[[#This Row],[Total_Sales]]&gt;=50000,"High","Low")</f>
        <v>High</v>
      </c>
    </row>
    <row r="148" spans="1:15" x14ac:dyDescent="0.3">
      <c r="A148">
        <v>1147</v>
      </c>
      <c r="B148" s="4">
        <v>46191</v>
      </c>
      <c r="C148" t="s">
        <v>30</v>
      </c>
      <c r="D148" t="s">
        <v>66</v>
      </c>
      <c r="E148">
        <v>8</v>
      </c>
      <c r="F148">
        <v>30000</v>
      </c>
      <c r="G148" t="s">
        <v>75</v>
      </c>
      <c r="H148" t="s">
        <v>88</v>
      </c>
      <c r="I148" t="s">
        <v>81</v>
      </c>
      <c r="J148">
        <v>240000</v>
      </c>
      <c r="K148" t="str">
        <f>_xlfn.XLOOKUP(Sales_Data[[#This Row],[Product_ID]],products!A:A,products!B:B,"Not Found")</f>
        <v>Smartphone</v>
      </c>
      <c r="L148" t="str">
        <f>_xlfn.XLOOKUP(Sales_Data[[#This Row],[Product_ID]],products!A:A,products!C:C,"Not Found")</f>
        <v>Electronics</v>
      </c>
      <c r="M148" t="str">
        <f>_xlfn.XLOOKUP(C148,customers!A:A,customers!B:B,"Not Found")</f>
        <v>Anjali Kulkarni</v>
      </c>
      <c r="N148" t="str">
        <f>_xlfn.XLOOKUP(C147,customers!A:A,customers!C:C,"Not Found")</f>
        <v>Nagpur</v>
      </c>
      <c r="O148" t="str">
        <f>IF(Sales_Data[[#This Row],[Total_Sales]]&gt;=50000,"High","Low")</f>
        <v>High</v>
      </c>
    </row>
    <row r="149" spans="1:15" x14ac:dyDescent="0.3">
      <c r="A149">
        <v>1148</v>
      </c>
      <c r="B149" s="4">
        <v>46164</v>
      </c>
      <c r="C149" t="s">
        <v>18</v>
      </c>
      <c r="D149" t="s">
        <v>58</v>
      </c>
      <c r="E149">
        <v>7</v>
      </c>
      <c r="F149">
        <v>12000</v>
      </c>
      <c r="G149" t="s">
        <v>89</v>
      </c>
      <c r="H149" t="s">
        <v>83</v>
      </c>
      <c r="I149" t="s">
        <v>87</v>
      </c>
      <c r="J149">
        <v>84000</v>
      </c>
      <c r="K149" t="str">
        <f>_xlfn.XLOOKUP(Sales_Data[[#This Row],[Product_ID]],products!A:A,products!B:B,"Not Found")</f>
        <v>Printer</v>
      </c>
      <c r="L149" t="str">
        <f>_xlfn.XLOOKUP(Sales_Data[[#This Row],[Product_ID]],products!A:A,products!C:C,"Not Found")</f>
        <v>Electronics</v>
      </c>
      <c r="M149" t="str">
        <f>_xlfn.XLOOKUP(C149,customers!A:A,customers!B:B,"Not Found")</f>
        <v>Neha Gupta</v>
      </c>
      <c r="N149" t="str">
        <f>_xlfn.XLOOKUP(C148,customers!A:A,customers!C:C,"Not Found")</f>
        <v>Nagpur</v>
      </c>
      <c r="O149" t="str">
        <f>IF(Sales_Data[[#This Row],[Total_Sales]]&gt;=50000,"High","Low")</f>
        <v>High</v>
      </c>
    </row>
    <row r="150" spans="1:15" x14ac:dyDescent="0.3">
      <c r="A150">
        <v>1149</v>
      </c>
      <c r="B150" s="4">
        <v>46121</v>
      </c>
      <c r="C150" t="s">
        <v>30</v>
      </c>
      <c r="D150" t="s">
        <v>54</v>
      </c>
      <c r="E150">
        <v>4</v>
      </c>
      <c r="F150">
        <v>15000</v>
      </c>
      <c r="G150" t="s">
        <v>89</v>
      </c>
      <c r="H150" t="s">
        <v>79</v>
      </c>
      <c r="I150" t="s">
        <v>85</v>
      </c>
      <c r="J150">
        <v>60000</v>
      </c>
      <c r="K150" t="str">
        <f>_xlfn.XLOOKUP(Sales_Data[[#This Row],[Product_ID]],products!A:A,products!B:B,"Not Found")</f>
        <v>Monitor</v>
      </c>
      <c r="L150" t="str">
        <f>_xlfn.XLOOKUP(Sales_Data[[#This Row],[Product_ID]],products!A:A,products!C:C,"Not Found")</f>
        <v>Electronics</v>
      </c>
      <c r="M150" t="str">
        <f>_xlfn.XLOOKUP(C150,customers!A:A,customers!B:B,"Not Found")</f>
        <v>Anjali Kulkarni</v>
      </c>
      <c r="N150" t="str">
        <f>_xlfn.XLOOKUP(C149,customers!A:A,customers!C:C,"Not Found")</f>
        <v>Indore</v>
      </c>
      <c r="O150" t="str">
        <f>IF(Sales_Data[[#This Row],[Total_Sales]]&gt;=50000,"High","Low")</f>
        <v>High</v>
      </c>
    </row>
    <row r="151" spans="1:15" x14ac:dyDescent="0.3">
      <c r="A151">
        <v>1150</v>
      </c>
      <c r="B151" s="4">
        <v>46120</v>
      </c>
      <c r="C151" t="s">
        <v>34</v>
      </c>
      <c r="D151" t="s">
        <v>62</v>
      </c>
      <c r="E151">
        <v>7</v>
      </c>
      <c r="F151">
        <v>3000</v>
      </c>
      <c r="G151" t="s">
        <v>86</v>
      </c>
      <c r="H151" t="s">
        <v>76</v>
      </c>
      <c r="I151" t="s">
        <v>81</v>
      </c>
      <c r="J151">
        <v>21000</v>
      </c>
      <c r="K151" t="str">
        <f>_xlfn.XLOOKUP(Sales_Data[[#This Row],[Product_ID]],products!A:A,products!B:B,"Not Found")</f>
        <v>Webcam</v>
      </c>
      <c r="L151" t="str">
        <f>_xlfn.XLOOKUP(Sales_Data[[#This Row],[Product_ID]],products!A:A,products!C:C,"Not Found")</f>
        <v>Accessories</v>
      </c>
      <c r="M151" t="str">
        <f>_xlfn.XLOOKUP(C151,customers!A:A,customers!B:B,"Not Found")</f>
        <v>Riya Shah</v>
      </c>
      <c r="N151" t="str">
        <f>_xlfn.XLOOKUP(C150,customers!A:A,customers!C:C,"Not Found")</f>
        <v>Nagpur</v>
      </c>
      <c r="O151" t="str">
        <f>IF(Sales_Data[[#This Row],[Total_Sales]]&gt;=50000,"High","Low")</f>
        <v>Low</v>
      </c>
    </row>
    <row r="152" spans="1:15" x14ac:dyDescent="0.3">
      <c r="A152">
        <v>1151</v>
      </c>
      <c r="B152" s="4">
        <v>46151</v>
      </c>
      <c r="C152" t="s">
        <v>9</v>
      </c>
      <c r="D152" t="s">
        <v>46</v>
      </c>
      <c r="E152">
        <v>6</v>
      </c>
      <c r="F152">
        <v>55000</v>
      </c>
      <c r="G152" t="s">
        <v>78</v>
      </c>
      <c r="H152" t="s">
        <v>88</v>
      </c>
      <c r="I152" t="s">
        <v>77</v>
      </c>
      <c r="J152">
        <v>330000</v>
      </c>
      <c r="K152" t="str">
        <f>_xlfn.XLOOKUP(Sales_Data[[#This Row],[Product_ID]],products!A:A,products!B:B,"Not Found")</f>
        <v>Laptop</v>
      </c>
      <c r="L152" t="str">
        <f>_xlfn.XLOOKUP(Sales_Data[[#This Row],[Product_ID]],products!A:A,products!C:C,"Not Found")</f>
        <v>Electronics</v>
      </c>
      <c r="M152" t="str">
        <f>_xlfn.XLOOKUP(C152,customers!A:A,customers!B:B,"Not Found")</f>
        <v>Amit Verma</v>
      </c>
      <c r="N152" t="str">
        <f>_xlfn.XLOOKUP(C151,customers!A:A,customers!C:C,"Not Found")</f>
        <v>Mumbai</v>
      </c>
      <c r="O152" t="str">
        <f>IF(Sales_Data[[#This Row],[Total_Sales]]&gt;=50000,"High","Low")</f>
        <v>High</v>
      </c>
    </row>
    <row r="153" spans="1:15" x14ac:dyDescent="0.3">
      <c r="A153">
        <v>1152</v>
      </c>
      <c r="B153" s="4">
        <v>46139</v>
      </c>
      <c r="C153" t="s">
        <v>40</v>
      </c>
      <c r="D153" t="s">
        <v>64</v>
      </c>
      <c r="E153">
        <v>1</v>
      </c>
      <c r="F153">
        <v>900</v>
      </c>
      <c r="G153" t="s">
        <v>86</v>
      </c>
      <c r="H153" t="s">
        <v>76</v>
      </c>
      <c r="I153" t="s">
        <v>81</v>
      </c>
      <c r="J153">
        <v>900</v>
      </c>
      <c r="K153" t="str">
        <f>_xlfn.XLOOKUP(Sales_Data[[#This Row],[Product_ID]],products!A:A,products!B:B,"Not Found")</f>
        <v>USB Drive</v>
      </c>
      <c r="L153" t="str">
        <f>_xlfn.XLOOKUP(Sales_Data[[#This Row],[Product_ID]],products!A:A,products!C:C,"Not Found")</f>
        <v>Accessories</v>
      </c>
      <c r="M153" t="str">
        <f>_xlfn.XLOOKUP(C153,customers!A:A,customers!B:B,"Not Found")</f>
        <v>Nitin More</v>
      </c>
      <c r="N153" t="str">
        <f>_xlfn.XLOOKUP(C152,customers!A:A,customers!C:C,"Not Found")</f>
        <v>Mumbai</v>
      </c>
      <c r="O153" t="str">
        <f>IF(Sales_Data[[#This Row],[Total_Sales]]&gt;=50000,"High","Low")</f>
        <v>Low</v>
      </c>
    </row>
    <row r="154" spans="1:15" x14ac:dyDescent="0.3">
      <c r="A154">
        <v>1153</v>
      </c>
      <c r="B154" s="4">
        <v>46143</v>
      </c>
      <c r="C154" t="s">
        <v>6</v>
      </c>
      <c r="D154" t="s">
        <v>52</v>
      </c>
      <c r="E154">
        <v>5</v>
      </c>
      <c r="F154">
        <v>800</v>
      </c>
      <c r="G154" t="s">
        <v>82</v>
      </c>
      <c r="H154" t="s">
        <v>84</v>
      </c>
      <c r="I154" t="s">
        <v>81</v>
      </c>
      <c r="J154">
        <v>4000</v>
      </c>
      <c r="K154" t="str">
        <f>_xlfn.XLOOKUP(Sales_Data[[#This Row],[Product_ID]],products!A:A,products!B:B,"Not Found")</f>
        <v>Mouse</v>
      </c>
      <c r="L154" t="str">
        <f>_xlfn.XLOOKUP(Sales_Data[[#This Row],[Product_ID]],products!A:A,products!C:C,"Not Found")</f>
        <v>Accessories</v>
      </c>
      <c r="M154" t="str">
        <f>_xlfn.XLOOKUP(C154,customers!A:A,customers!B:B,"Not Found")</f>
        <v>Priya Patil</v>
      </c>
      <c r="N154" t="str">
        <f>_xlfn.XLOOKUP(C153,customers!A:A,customers!C:C,"Not Found")</f>
        <v>Nagpur</v>
      </c>
      <c r="O154" t="str">
        <f>IF(Sales_Data[[#This Row],[Total_Sales]]&gt;=50000,"High","Low")</f>
        <v>Low</v>
      </c>
    </row>
    <row r="155" spans="1:15" x14ac:dyDescent="0.3">
      <c r="A155">
        <v>1154</v>
      </c>
      <c r="B155" s="4">
        <v>46107</v>
      </c>
      <c r="C155" t="s">
        <v>38</v>
      </c>
      <c r="D155" t="s">
        <v>49</v>
      </c>
      <c r="E155">
        <v>7</v>
      </c>
      <c r="F155">
        <v>2500</v>
      </c>
      <c r="G155" t="s">
        <v>82</v>
      </c>
      <c r="H155" t="s">
        <v>88</v>
      </c>
      <c r="I155" t="s">
        <v>77</v>
      </c>
      <c r="J155">
        <v>17500</v>
      </c>
      <c r="K155" t="str">
        <f>_xlfn.XLOOKUP(Sales_Data[[#This Row],[Product_ID]],products!A:A,products!B:B,"Not Found")</f>
        <v>Keyboard</v>
      </c>
      <c r="L155" t="str">
        <f>_xlfn.XLOOKUP(Sales_Data[[#This Row],[Product_ID]],products!A:A,products!C:C,"Not Found")</f>
        <v>Accessories</v>
      </c>
      <c r="M155" t="str">
        <f>_xlfn.XLOOKUP(C155,customers!A:A,customers!B:B,"Not Found")</f>
        <v>Komal Pawar</v>
      </c>
      <c r="N155" t="str">
        <f>_xlfn.XLOOKUP(C154,customers!A:A,customers!C:C,"Not Found")</f>
        <v>Pune</v>
      </c>
      <c r="O155" t="str">
        <f>IF(Sales_Data[[#This Row],[Total_Sales]]&gt;=50000,"High","Low")</f>
        <v>Low</v>
      </c>
    </row>
    <row r="156" spans="1:15" x14ac:dyDescent="0.3">
      <c r="A156">
        <v>1155</v>
      </c>
      <c r="B156" s="4">
        <v>46083</v>
      </c>
      <c r="C156" t="s">
        <v>6</v>
      </c>
      <c r="D156" t="s">
        <v>66</v>
      </c>
      <c r="E156">
        <v>5</v>
      </c>
      <c r="F156">
        <v>30000</v>
      </c>
      <c r="G156" t="s">
        <v>75</v>
      </c>
      <c r="H156" t="s">
        <v>79</v>
      </c>
      <c r="I156" t="s">
        <v>81</v>
      </c>
      <c r="J156">
        <v>150000</v>
      </c>
      <c r="K156" t="str">
        <f>_xlfn.XLOOKUP(Sales_Data[[#This Row],[Product_ID]],products!A:A,products!B:B,"Not Found")</f>
        <v>Smartphone</v>
      </c>
      <c r="L156" t="str">
        <f>_xlfn.XLOOKUP(Sales_Data[[#This Row],[Product_ID]],products!A:A,products!C:C,"Not Found")</f>
        <v>Electronics</v>
      </c>
      <c r="M156" t="str">
        <f>_xlfn.XLOOKUP(C156,customers!A:A,customers!B:B,"Not Found")</f>
        <v>Priya Patil</v>
      </c>
      <c r="N156" t="str">
        <f>_xlfn.XLOOKUP(C155,customers!A:A,customers!C:C,"Not Found")</f>
        <v>Indore</v>
      </c>
      <c r="O156" t="str">
        <f>IF(Sales_Data[[#This Row],[Total_Sales]]&gt;=50000,"High","Low")</f>
        <v>High</v>
      </c>
    </row>
    <row r="157" spans="1:15" x14ac:dyDescent="0.3">
      <c r="A157">
        <v>1156</v>
      </c>
      <c r="B157" s="4">
        <v>46185</v>
      </c>
      <c r="C157" t="s">
        <v>36</v>
      </c>
      <c r="D157" t="s">
        <v>49</v>
      </c>
      <c r="E157">
        <v>2</v>
      </c>
      <c r="F157">
        <v>2500</v>
      </c>
      <c r="G157" t="s">
        <v>89</v>
      </c>
      <c r="H157" t="s">
        <v>76</v>
      </c>
      <c r="I157" t="s">
        <v>85</v>
      </c>
      <c r="J157">
        <v>5000</v>
      </c>
      <c r="K157" t="str">
        <f>_xlfn.XLOOKUP(Sales_Data[[#This Row],[Product_ID]],products!A:A,products!B:B,"Not Found")</f>
        <v>Keyboard</v>
      </c>
      <c r="L157" t="str">
        <f>_xlfn.XLOOKUP(Sales_Data[[#This Row],[Product_ID]],products!A:A,products!C:C,"Not Found")</f>
        <v>Accessories</v>
      </c>
      <c r="M157" t="str">
        <f>_xlfn.XLOOKUP(C157,customers!A:A,customers!B:B,"Not Found")</f>
        <v>Akash Jain</v>
      </c>
      <c r="N157" t="str">
        <f>_xlfn.XLOOKUP(C156,customers!A:A,customers!C:C,"Not Found")</f>
        <v>Pune</v>
      </c>
      <c r="O157" t="str">
        <f>IF(Sales_Data[[#This Row],[Total_Sales]]&gt;=50000,"High","Low")</f>
        <v>Low</v>
      </c>
    </row>
    <row r="158" spans="1:15" x14ac:dyDescent="0.3">
      <c r="A158">
        <v>1157</v>
      </c>
      <c r="B158" s="4">
        <v>46106</v>
      </c>
      <c r="C158" t="s">
        <v>3</v>
      </c>
      <c r="D158" t="s">
        <v>46</v>
      </c>
      <c r="E158">
        <v>1</v>
      </c>
      <c r="F158">
        <v>55000</v>
      </c>
      <c r="G158" t="s">
        <v>82</v>
      </c>
      <c r="H158" t="s">
        <v>83</v>
      </c>
      <c r="I158" t="s">
        <v>85</v>
      </c>
      <c r="J158">
        <v>55000</v>
      </c>
      <c r="K158" t="str">
        <f>_xlfn.XLOOKUP(Sales_Data[[#This Row],[Product_ID]],products!A:A,products!B:B,"Not Found")</f>
        <v>Laptop</v>
      </c>
      <c r="L158" t="str">
        <f>_xlfn.XLOOKUP(Sales_Data[[#This Row],[Product_ID]],products!A:A,products!C:C,"Not Found")</f>
        <v>Electronics</v>
      </c>
      <c r="M158" t="str">
        <f>_xlfn.XLOOKUP(C158,customers!A:A,customers!B:B,"Not Found")</f>
        <v>Rahul Sharma</v>
      </c>
      <c r="N158" t="str">
        <f>_xlfn.XLOOKUP(C157,customers!A:A,customers!C:C,"Not Found")</f>
        <v>Nashik</v>
      </c>
      <c r="O158" t="str">
        <f>IF(Sales_Data[[#This Row],[Total_Sales]]&gt;=50000,"High","Low")</f>
        <v>High</v>
      </c>
    </row>
    <row r="159" spans="1:15" x14ac:dyDescent="0.3">
      <c r="A159">
        <v>1158</v>
      </c>
      <c r="B159" s="4">
        <v>46085</v>
      </c>
      <c r="C159" t="s">
        <v>9</v>
      </c>
      <c r="D159" t="s">
        <v>60</v>
      </c>
      <c r="E159">
        <v>7</v>
      </c>
      <c r="F159">
        <v>22000</v>
      </c>
      <c r="G159" t="s">
        <v>80</v>
      </c>
      <c r="H159" t="s">
        <v>76</v>
      </c>
      <c r="I159" t="s">
        <v>87</v>
      </c>
      <c r="J159">
        <v>154000</v>
      </c>
      <c r="K159" t="str">
        <f>_xlfn.XLOOKUP(Sales_Data[[#This Row],[Product_ID]],products!A:A,products!B:B,"Not Found")</f>
        <v>Tablet</v>
      </c>
      <c r="L159" t="str">
        <f>_xlfn.XLOOKUP(Sales_Data[[#This Row],[Product_ID]],products!A:A,products!C:C,"Not Found")</f>
        <v>Electronics</v>
      </c>
      <c r="M159" t="str">
        <f>_xlfn.XLOOKUP(C159,customers!A:A,customers!B:B,"Not Found")</f>
        <v>Amit Verma</v>
      </c>
      <c r="N159" t="str">
        <f>_xlfn.XLOOKUP(C158,customers!A:A,customers!C:C,"Not Found")</f>
        <v>Nagpur</v>
      </c>
      <c r="O159" t="str">
        <f>IF(Sales_Data[[#This Row],[Total_Sales]]&gt;=50000,"High","Low")</f>
        <v>High</v>
      </c>
    </row>
    <row r="160" spans="1:15" x14ac:dyDescent="0.3">
      <c r="A160">
        <v>1159</v>
      </c>
      <c r="B160" s="4">
        <v>46179</v>
      </c>
      <c r="C160" t="s">
        <v>6</v>
      </c>
      <c r="D160" t="s">
        <v>52</v>
      </c>
      <c r="E160">
        <v>7</v>
      </c>
      <c r="F160">
        <v>800</v>
      </c>
      <c r="G160" t="s">
        <v>80</v>
      </c>
      <c r="H160" t="s">
        <v>76</v>
      </c>
      <c r="I160" t="s">
        <v>81</v>
      </c>
      <c r="J160">
        <v>5600</v>
      </c>
      <c r="K160" t="str">
        <f>_xlfn.XLOOKUP(Sales_Data[[#This Row],[Product_ID]],products!A:A,products!B:B,"Not Found")</f>
        <v>Mouse</v>
      </c>
      <c r="L160" t="str">
        <f>_xlfn.XLOOKUP(Sales_Data[[#This Row],[Product_ID]],products!A:A,products!C:C,"Not Found")</f>
        <v>Accessories</v>
      </c>
      <c r="M160" t="str">
        <f>_xlfn.XLOOKUP(C160,customers!A:A,customers!B:B,"Not Found")</f>
        <v>Priya Patil</v>
      </c>
      <c r="N160" t="str">
        <f>_xlfn.XLOOKUP(C159,customers!A:A,customers!C:C,"Not Found")</f>
        <v>Mumbai</v>
      </c>
      <c r="O160" t="str">
        <f>IF(Sales_Data[[#This Row],[Total_Sales]]&gt;=50000,"High","Low")</f>
        <v>Low</v>
      </c>
    </row>
    <row r="161" spans="1:15" x14ac:dyDescent="0.3">
      <c r="A161">
        <v>1160</v>
      </c>
      <c r="B161" s="4">
        <v>46082</v>
      </c>
      <c r="C161" t="s">
        <v>9</v>
      </c>
      <c r="D161" t="s">
        <v>66</v>
      </c>
      <c r="E161">
        <v>8</v>
      </c>
      <c r="F161">
        <v>30000</v>
      </c>
      <c r="G161" t="s">
        <v>86</v>
      </c>
      <c r="H161" t="s">
        <v>83</v>
      </c>
      <c r="I161" t="s">
        <v>81</v>
      </c>
      <c r="J161">
        <v>240000</v>
      </c>
      <c r="K161" t="str">
        <f>_xlfn.XLOOKUP(Sales_Data[[#This Row],[Product_ID]],products!A:A,products!B:B,"Not Found")</f>
        <v>Smartphone</v>
      </c>
      <c r="L161" t="str">
        <f>_xlfn.XLOOKUP(Sales_Data[[#This Row],[Product_ID]],products!A:A,products!C:C,"Not Found")</f>
        <v>Electronics</v>
      </c>
      <c r="M161" t="str">
        <f>_xlfn.XLOOKUP(C161,customers!A:A,customers!B:B,"Not Found")</f>
        <v>Amit Verma</v>
      </c>
      <c r="N161" t="str">
        <f>_xlfn.XLOOKUP(C160,customers!A:A,customers!C:C,"Not Found")</f>
        <v>Pune</v>
      </c>
      <c r="O161" t="str">
        <f>IF(Sales_Data[[#This Row],[Total_Sales]]&gt;=50000,"High","Low")</f>
        <v>High</v>
      </c>
    </row>
    <row r="162" spans="1:15" x14ac:dyDescent="0.3">
      <c r="A162">
        <v>1161</v>
      </c>
      <c r="B162" s="4">
        <v>46025</v>
      </c>
      <c r="C162" t="s">
        <v>32</v>
      </c>
      <c r="D162" t="s">
        <v>56</v>
      </c>
      <c r="E162">
        <v>8</v>
      </c>
      <c r="F162">
        <v>3500</v>
      </c>
      <c r="G162" t="s">
        <v>82</v>
      </c>
      <c r="H162" t="s">
        <v>84</v>
      </c>
      <c r="I162" t="s">
        <v>87</v>
      </c>
      <c r="J162">
        <v>28000</v>
      </c>
      <c r="K162" t="str">
        <f>_xlfn.XLOOKUP(Sales_Data[[#This Row],[Product_ID]],products!A:A,products!B:B,"Not Found")</f>
        <v>Headphones</v>
      </c>
      <c r="L162" t="str">
        <f>_xlfn.XLOOKUP(Sales_Data[[#This Row],[Product_ID]],products!A:A,products!C:C,"Not Found")</f>
        <v>Accessories</v>
      </c>
      <c r="M162" t="str">
        <f>_xlfn.XLOOKUP(C162,customers!A:A,customers!B:B,"Not Found")</f>
        <v>Sahil Khan</v>
      </c>
      <c r="N162" t="str">
        <f>_xlfn.XLOOKUP(C161,customers!A:A,customers!C:C,"Not Found")</f>
        <v>Mumbai</v>
      </c>
      <c r="O162" t="str">
        <f>IF(Sales_Data[[#This Row],[Total_Sales]]&gt;=50000,"High","Low")</f>
        <v>Low</v>
      </c>
    </row>
    <row r="163" spans="1:15" x14ac:dyDescent="0.3">
      <c r="A163">
        <v>1162</v>
      </c>
      <c r="B163" s="4">
        <v>46111</v>
      </c>
      <c r="C163" t="s">
        <v>24</v>
      </c>
      <c r="D163" t="s">
        <v>49</v>
      </c>
      <c r="E163">
        <v>5</v>
      </c>
      <c r="F163">
        <v>2500</v>
      </c>
      <c r="G163" t="s">
        <v>86</v>
      </c>
      <c r="H163" t="s">
        <v>88</v>
      </c>
      <c r="I163" t="s">
        <v>85</v>
      </c>
      <c r="J163">
        <v>12500</v>
      </c>
      <c r="K163" t="str">
        <f>_xlfn.XLOOKUP(Sales_Data[[#This Row],[Product_ID]],products!A:A,products!B:B,"Not Found")</f>
        <v>Keyboard</v>
      </c>
      <c r="L163" t="str">
        <f>_xlfn.XLOOKUP(Sales_Data[[#This Row],[Product_ID]],products!A:A,products!C:C,"Not Found")</f>
        <v>Accessories</v>
      </c>
      <c r="M163" t="str">
        <f>_xlfn.XLOOKUP(C163,customers!A:A,customers!B:B,"Not Found")</f>
        <v>Pooja Deshmukh</v>
      </c>
      <c r="N163" t="str">
        <f>_xlfn.XLOOKUP(C162,customers!A:A,customers!C:C,"Not Found")</f>
        <v>Pune</v>
      </c>
      <c r="O163" t="str">
        <f>IF(Sales_Data[[#This Row],[Total_Sales]]&gt;=50000,"High","Low")</f>
        <v>Low</v>
      </c>
    </row>
    <row r="164" spans="1:15" x14ac:dyDescent="0.3">
      <c r="A164">
        <v>1163</v>
      </c>
      <c r="B164" s="4">
        <v>46100</v>
      </c>
      <c r="C164" t="s">
        <v>38</v>
      </c>
      <c r="D164" t="s">
        <v>62</v>
      </c>
      <c r="E164">
        <v>4</v>
      </c>
      <c r="F164">
        <v>3000</v>
      </c>
      <c r="G164" t="s">
        <v>89</v>
      </c>
      <c r="H164" t="s">
        <v>88</v>
      </c>
      <c r="I164" t="s">
        <v>77</v>
      </c>
      <c r="J164">
        <v>12000</v>
      </c>
      <c r="K164" t="str">
        <f>_xlfn.XLOOKUP(Sales_Data[[#This Row],[Product_ID]],products!A:A,products!B:B,"Not Found")</f>
        <v>Webcam</v>
      </c>
      <c r="L164" t="str">
        <f>_xlfn.XLOOKUP(Sales_Data[[#This Row],[Product_ID]],products!A:A,products!C:C,"Not Found")</f>
        <v>Accessories</v>
      </c>
      <c r="M164" t="str">
        <f>_xlfn.XLOOKUP(C164,customers!A:A,customers!B:B,"Not Found")</f>
        <v>Komal Pawar</v>
      </c>
      <c r="N164" t="str">
        <f>_xlfn.XLOOKUP(C163,customers!A:A,customers!C:C,"Not Found")</f>
        <v>Aurangabad</v>
      </c>
      <c r="O164" t="str">
        <f>IF(Sales_Data[[#This Row],[Total_Sales]]&gt;=50000,"High","Low")</f>
        <v>Low</v>
      </c>
    </row>
    <row r="165" spans="1:15" x14ac:dyDescent="0.3">
      <c r="A165">
        <v>1164</v>
      </c>
      <c r="B165" s="4">
        <v>46169</v>
      </c>
      <c r="C165" t="s">
        <v>21</v>
      </c>
      <c r="D165" t="s">
        <v>54</v>
      </c>
      <c r="E165">
        <v>6</v>
      </c>
      <c r="F165">
        <v>15000</v>
      </c>
      <c r="G165" t="s">
        <v>80</v>
      </c>
      <c r="H165" t="s">
        <v>83</v>
      </c>
      <c r="I165" t="s">
        <v>85</v>
      </c>
      <c r="J165">
        <v>90000</v>
      </c>
      <c r="K165" t="str">
        <f>_xlfn.XLOOKUP(Sales_Data[[#This Row],[Product_ID]],products!A:A,products!B:B,"Not Found")</f>
        <v>Monitor</v>
      </c>
      <c r="L165" t="str">
        <f>_xlfn.XLOOKUP(Sales_Data[[#This Row],[Product_ID]],products!A:A,products!C:C,"Not Found")</f>
        <v>Electronics</v>
      </c>
      <c r="M165" t="str">
        <f>_xlfn.XLOOKUP(C165,customers!A:A,customers!B:B,"Not Found")</f>
        <v>Karan Mehta</v>
      </c>
      <c r="N165" t="str">
        <f>_xlfn.XLOOKUP(C164,customers!A:A,customers!C:C,"Not Found")</f>
        <v>Indore</v>
      </c>
      <c r="O165" t="str">
        <f>IF(Sales_Data[[#This Row],[Total_Sales]]&gt;=50000,"High","Low")</f>
        <v>High</v>
      </c>
    </row>
    <row r="166" spans="1:15" x14ac:dyDescent="0.3">
      <c r="A166">
        <v>1165</v>
      </c>
      <c r="B166" s="4">
        <v>46191</v>
      </c>
      <c r="C166" t="s">
        <v>38</v>
      </c>
      <c r="D166" t="s">
        <v>46</v>
      </c>
      <c r="E166">
        <v>7</v>
      </c>
      <c r="F166">
        <v>55000</v>
      </c>
      <c r="G166" t="s">
        <v>82</v>
      </c>
      <c r="H166" t="s">
        <v>79</v>
      </c>
      <c r="I166" t="s">
        <v>77</v>
      </c>
      <c r="J166">
        <v>385000</v>
      </c>
      <c r="K166" t="str">
        <f>_xlfn.XLOOKUP(Sales_Data[[#This Row],[Product_ID]],products!A:A,products!B:B,"Not Found")</f>
        <v>Laptop</v>
      </c>
      <c r="L166" t="str">
        <f>_xlfn.XLOOKUP(Sales_Data[[#This Row],[Product_ID]],products!A:A,products!C:C,"Not Found")</f>
        <v>Electronics</v>
      </c>
      <c r="M166" t="str">
        <f>_xlfn.XLOOKUP(C166,customers!A:A,customers!B:B,"Not Found")</f>
        <v>Komal Pawar</v>
      </c>
      <c r="N166" t="str">
        <f>_xlfn.XLOOKUP(C165,customers!A:A,customers!C:C,"Not Found")</f>
        <v>Bhopal</v>
      </c>
      <c r="O166" t="str">
        <f>IF(Sales_Data[[#This Row],[Total_Sales]]&gt;=50000,"High","Low")</f>
        <v>High</v>
      </c>
    </row>
    <row r="167" spans="1:15" x14ac:dyDescent="0.3">
      <c r="A167">
        <v>1166</v>
      </c>
      <c r="B167" s="4">
        <v>46150</v>
      </c>
      <c r="C167" t="s">
        <v>34</v>
      </c>
      <c r="D167" t="s">
        <v>66</v>
      </c>
      <c r="E167">
        <v>5</v>
      </c>
      <c r="F167">
        <v>30000</v>
      </c>
      <c r="G167" t="s">
        <v>75</v>
      </c>
      <c r="H167" t="s">
        <v>84</v>
      </c>
      <c r="I167" t="s">
        <v>85</v>
      </c>
      <c r="J167">
        <v>150000</v>
      </c>
      <c r="K167" t="str">
        <f>_xlfn.XLOOKUP(Sales_Data[[#This Row],[Product_ID]],products!A:A,products!B:B,"Not Found")</f>
        <v>Smartphone</v>
      </c>
      <c r="L167" t="str">
        <f>_xlfn.XLOOKUP(Sales_Data[[#This Row],[Product_ID]],products!A:A,products!C:C,"Not Found")</f>
        <v>Electronics</v>
      </c>
      <c r="M167" t="str">
        <f>_xlfn.XLOOKUP(C167,customers!A:A,customers!B:B,"Not Found")</f>
        <v>Riya Shah</v>
      </c>
      <c r="N167" t="str">
        <f>_xlfn.XLOOKUP(C166,customers!A:A,customers!C:C,"Not Found")</f>
        <v>Indore</v>
      </c>
      <c r="O167" t="str">
        <f>IF(Sales_Data[[#This Row],[Total_Sales]]&gt;=50000,"High","Low")</f>
        <v>High</v>
      </c>
    </row>
    <row r="168" spans="1:15" x14ac:dyDescent="0.3">
      <c r="A168">
        <v>1167</v>
      </c>
      <c r="B168" s="4">
        <v>46071</v>
      </c>
      <c r="C168" t="s">
        <v>32</v>
      </c>
      <c r="D168" t="s">
        <v>54</v>
      </c>
      <c r="E168">
        <v>5</v>
      </c>
      <c r="F168">
        <v>15000</v>
      </c>
      <c r="G168" t="s">
        <v>86</v>
      </c>
      <c r="H168" t="s">
        <v>76</v>
      </c>
      <c r="I168" t="s">
        <v>77</v>
      </c>
      <c r="J168">
        <v>75000</v>
      </c>
      <c r="K168" t="str">
        <f>_xlfn.XLOOKUP(Sales_Data[[#This Row],[Product_ID]],products!A:A,products!B:B,"Not Found")</f>
        <v>Monitor</v>
      </c>
      <c r="L168" t="str">
        <f>_xlfn.XLOOKUP(Sales_Data[[#This Row],[Product_ID]],products!A:A,products!C:C,"Not Found")</f>
        <v>Electronics</v>
      </c>
      <c r="M168" t="str">
        <f>_xlfn.XLOOKUP(C168,customers!A:A,customers!B:B,"Not Found")</f>
        <v>Sahil Khan</v>
      </c>
      <c r="N168" t="str">
        <f>_xlfn.XLOOKUP(C167,customers!A:A,customers!C:C,"Not Found")</f>
        <v>Mumbai</v>
      </c>
      <c r="O168" t="str">
        <f>IF(Sales_Data[[#This Row],[Total_Sales]]&gt;=50000,"High","Low")</f>
        <v>High</v>
      </c>
    </row>
    <row r="169" spans="1:15" x14ac:dyDescent="0.3">
      <c r="A169">
        <v>1168</v>
      </c>
      <c r="B169" s="4">
        <v>46135</v>
      </c>
      <c r="C169" t="s">
        <v>15</v>
      </c>
      <c r="D169" t="s">
        <v>46</v>
      </c>
      <c r="E169">
        <v>1</v>
      </c>
      <c r="F169">
        <v>55000</v>
      </c>
      <c r="G169" t="s">
        <v>80</v>
      </c>
      <c r="H169" t="s">
        <v>83</v>
      </c>
      <c r="I169" t="s">
        <v>87</v>
      </c>
      <c r="J169">
        <v>55000</v>
      </c>
      <c r="K169" t="str">
        <f>_xlfn.XLOOKUP(Sales_Data[[#This Row],[Product_ID]],products!A:A,products!B:B,"Not Found")</f>
        <v>Laptop</v>
      </c>
      <c r="L169" t="str">
        <f>_xlfn.XLOOKUP(Sales_Data[[#This Row],[Product_ID]],products!A:A,products!C:C,"Not Found")</f>
        <v>Electronics</v>
      </c>
      <c r="M169" t="str">
        <f>_xlfn.XLOOKUP(C169,customers!A:A,customers!B:B,"Not Found")</f>
        <v>Rohit Singh</v>
      </c>
      <c r="N169" t="str">
        <f>_xlfn.XLOOKUP(C168,customers!A:A,customers!C:C,"Not Found")</f>
        <v>Pune</v>
      </c>
      <c r="O169" t="str">
        <f>IF(Sales_Data[[#This Row],[Total_Sales]]&gt;=50000,"High","Low")</f>
        <v>High</v>
      </c>
    </row>
    <row r="170" spans="1:15" x14ac:dyDescent="0.3">
      <c r="A170">
        <v>1169</v>
      </c>
      <c r="B170" s="4">
        <v>46098</v>
      </c>
      <c r="C170" t="s">
        <v>40</v>
      </c>
      <c r="D170" t="s">
        <v>49</v>
      </c>
      <c r="E170">
        <v>6</v>
      </c>
      <c r="F170">
        <v>2500</v>
      </c>
      <c r="G170" t="s">
        <v>86</v>
      </c>
      <c r="H170" t="s">
        <v>88</v>
      </c>
      <c r="I170" t="s">
        <v>87</v>
      </c>
      <c r="J170">
        <v>15000</v>
      </c>
      <c r="K170" t="str">
        <f>_xlfn.XLOOKUP(Sales_Data[[#This Row],[Product_ID]],products!A:A,products!B:B,"Not Found")</f>
        <v>Keyboard</v>
      </c>
      <c r="L170" t="str">
        <f>_xlfn.XLOOKUP(Sales_Data[[#This Row],[Product_ID]],products!A:A,products!C:C,"Not Found")</f>
        <v>Accessories</v>
      </c>
      <c r="M170" t="str">
        <f>_xlfn.XLOOKUP(C170,customers!A:A,customers!B:B,"Not Found")</f>
        <v>Nitin More</v>
      </c>
      <c r="N170" t="str">
        <f>_xlfn.XLOOKUP(C169,customers!A:A,customers!C:C,"Not Found")</f>
        <v>Delhi</v>
      </c>
      <c r="O170" t="str">
        <f>IF(Sales_Data[[#This Row],[Total_Sales]]&gt;=50000,"High","Low")</f>
        <v>Low</v>
      </c>
    </row>
    <row r="171" spans="1:15" x14ac:dyDescent="0.3">
      <c r="A171">
        <v>1170</v>
      </c>
      <c r="B171" s="4">
        <v>46161</v>
      </c>
      <c r="C171" t="s">
        <v>9</v>
      </c>
      <c r="D171" t="s">
        <v>54</v>
      </c>
      <c r="E171">
        <v>6</v>
      </c>
      <c r="F171">
        <v>15000</v>
      </c>
      <c r="G171" t="s">
        <v>80</v>
      </c>
      <c r="H171" t="s">
        <v>84</v>
      </c>
      <c r="I171" t="s">
        <v>85</v>
      </c>
      <c r="J171">
        <v>90000</v>
      </c>
      <c r="K171" t="str">
        <f>_xlfn.XLOOKUP(Sales_Data[[#This Row],[Product_ID]],products!A:A,products!B:B,"Not Found")</f>
        <v>Monitor</v>
      </c>
      <c r="L171" t="str">
        <f>_xlfn.XLOOKUP(Sales_Data[[#This Row],[Product_ID]],products!A:A,products!C:C,"Not Found")</f>
        <v>Electronics</v>
      </c>
      <c r="M171" t="str">
        <f>_xlfn.XLOOKUP(C171,customers!A:A,customers!B:B,"Not Found")</f>
        <v>Amit Verma</v>
      </c>
      <c r="N171" t="str">
        <f>_xlfn.XLOOKUP(C170,customers!A:A,customers!C:C,"Not Found")</f>
        <v>Nagpur</v>
      </c>
      <c r="O171" t="str">
        <f>IF(Sales_Data[[#This Row],[Total_Sales]]&gt;=50000,"High","Low")</f>
        <v>High</v>
      </c>
    </row>
    <row r="172" spans="1:15" x14ac:dyDescent="0.3">
      <c r="A172">
        <v>1171</v>
      </c>
      <c r="B172" s="4">
        <v>46146</v>
      </c>
      <c r="C172" t="s">
        <v>15</v>
      </c>
      <c r="D172" t="s">
        <v>52</v>
      </c>
      <c r="E172">
        <v>5</v>
      </c>
      <c r="F172">
        <v>800</v>
      </c>
      <c r="G172" t="s">
        <v>86</v>
      </c>
      <c r="H172" t="s">
        <v>83</v>
      </c>
      <c r="I172" t="s">
        <v>77</v>
      </c>
      <c r="J172">
        <v>4000</v>
      </c>
      <c r="K172" t="str">
        <f>_xlfn.XLOOKUP(Sales_Data[[#This Row],[Product_ID]],products!A:A,products!B:B,"Not Found")</f>
        <v>Mouse</v>
      </c>
      <c r="L172" t="str">
        <f>_xlfn.XLOOKUP(Sales_Data[[#This Row],[Product_ID]],products!A:A,products!C:C,"Not Found")</f>
        <v>Accessories</v>
      </c>
      <c r="M172" t="str">
        <f>_xlfn.XLOOKUP(C172,customers!A:A,customers!B:B,"Not Found")</f>
        <v>Rohit Singh</v>
      </c>
      <c r="N172" t="str">
        <f>_xlfn.XLOOKUP(C171,customers!A:A,customers!C:C,"Not Found")</f>
        <v>Mumbai</v>
      </c>
      <c r="O172" t="str">
        <f>IF(Sales_Data[[#This Row],[Total_Sales]]&gt;=50000,"High","Low")</f>
        <v>Low</v>
      </c>
    </row>
    <row r="173" spans="1:15" x14ac:dyDescent="0.3">
      <c r="A173">
        <v>1172</v>
      </c>
      <c r="B173" s="4">
        <v>46059</v>
      </c>
      <c r="C173" t="s">
        <v>6</v>
      </c>
      <c r="D173" t="s">
        <v>62</v>
      </c>
      <c r="E173">
        <v>4</v>
      </c>
      <c r="F173">
        <v>3000</v>
      </c>
      <c r="G173" t="s">
        <v>86</v>
      </c>
      <c r="H173" t="s">
        <v>88</v>
      </c>
      <c r="I173" t="s">
        <v>85</v>
      </c>
      <c r="J173">
        <v>12000</v>
      </c>
      <c r="K173" t="str">
        <f>_xlfn.XLOOKUP(Sales_Data[[#This Row],[Product_ID]],products!A:A,products!B:B,"Not Found")</f>
        <v>Webcam</v>
      </c>
      <c r="L173" t="str">
        <f>_xlfn.XLOOKUP(Sales_Data[[#This Row],[Product_ID]],products!A:A,products!C:C,"Not Found")</f>
        <v>Accessories</v>
      </c>
      <c r="M173" t="str">
        <f>_xlfn.XLOOKUP(C173,customers!A:A,customers!B:B,"Not Found")</f>
        <v>Priya Patil</v>
      </c>
      <c r="N173" t="str">
        <f>_xlfn.XLOOKUP(C172,customers!A:A,customers!C:C,"Not Found")</f>
        <v>Delhi</v>
      </c>
      <c r="O173" t="str">
        <f>IF(Sales_Data[[#This Row],[Total_Sales]]&gt;=50000,"High","Low")</f>
        <v>Low</v>
      </c>
    </row>
    <row r="174" spans="1:15" x14ac:dyDescent="0.3">
      <c r="A174">
        <v>1173</v>
      </c>
      <c r="B174" s="4">
        <v>46124</v>
      </c>
      <c r="C174" t="s">
        <v>36</v>
      </c>
      <c r="D174" t="s">
        <v>49</v>
      </c>
      <c r="E174">
        <v>1</v>
      </c>
      <c r="F174">
        <v>2500</v>
      </c>
      <c r="G174" t="s">
        <v>82</v>
      </c>
      <c r="H174" t="s">
        <v>84</v>
      </c>
      <c r="I174" t="s">
        <v>77</v>
      </c>
      <c r="J174">
        <v>2500</v>
      </c>
      <c r="K174" t="str">
        <f>_xlfn.XLOOKUP(Sales_Data[[#This Row],[Product_ID]],products!A:A,products!B:B,"Not Found")</f>
        <v>Keyboard</v>
      </c>
      <c r="L174" t="str">
        <f>_xlfn.XLOOKUP(Sales_Data[[#This Row],[Product_ID]],products!A:A,products!C:C,"Not Found")</f>
        <v>Accessories</v>
      </c>
      <c r="M174" t="str">
        <f>_xlfn.XLOOKUP(C174,customers!A:A,customers!B:B,"Not Found")</f>
        <v>Akash Jain</v>
      </c>
      <c r="N174" t="str">
        <f>_xlfn.XLOOKUP(C173,customers!A:A,customers!C:C,"Not Found")</f>
        <v>Pune</v>
      </c>
      <c r="O174" t="str">
        <f>IF(Sales_Data[[#This Row],[Total_Sales]]&gt;=50000,"High","Low")</f>
        <v>Low</v>
      </c>
    </row>
    <row r="175" spans="1:15" x14ac:dyDescent="0.3">
      <c r="A175">
        <v>1174</v>
      </c>
      <c r="B175" s="4">
        <v>46195</v>
      </c>
      <c r="C175" t="s">
        <v>18</v>
      </c>
      <c r="D175" t="s">
        <v>62</v>
      </c>
      <c r="E175">
        <v>5</v>
      </c>
      <c r="F175">
        <v>3000</v>
      </c>
      <c r="G175" t="s">
        <v>80</v>
      </c>
      <c r="H175" t="s">
        <v>88</v>
      </c>
      <c r="I175" t="s">
        <v>85</v>
      </c>
      <c r="J175">
        <v>15000</v>
      </c>
      <c r="K175" t="str">
        <f>_xlfn.XLOOKUP(Sales_Data[[#This Row],[Product_ID]],products!A:A,products!B:B,"Not Found")</f>
        <v>Webcam</v>
      </c>
      <c r="L175" t="str">
        <f>_xlfn.XLOOKUP(Sales_Data[[#This Row],[Product_ID]],products!A:A,products!C:C,"Not Found")</f>
        <v>Accessories</v>
      </c>
      <c r="M175" t="str">
        <f>_xlfn.XLOOKUP(C175,customers!A:A,customers!B:B,"Not Found")</f>
        <v>Neha Gupta</v>
      </c>
      <c r="N175" t="str">
        <f>_xlfn.XLOOKUP(C174,customers!A:A,customers!C:C,"Not Found")</f>
        <v>Nashik</v>
      </c>
      <c r="O175" t="str">
        <f>IF(Sales_Data[[#This Row],[Total_Sales]]&gt;=50000,"High","Low")</f>
        <v>Low</v>
      </c>
    </row>
    <row r="176" spans="1:15" x14ac:dyDescent="0.3">
      <c r="A176">
        <v>1175</v>
      </c>
      <c r="B176" s="4">
        <v>46082</v>
      </c>
      <c r="C176" t="s">
        <v>32</v>
      </c>
      <c r="D176" t="s">
        <v>49</v>
      </c>
      <c r="E176">
        <v>8</v>
      </c>
      <c r="F176">
        <v>2500</v>
      </c>
      <c r="G176" t="s">
        <v>78</v>
      </c>
      <c r="H176" t="s">
        <v>84</v>
      </c>
      <c r="I176" t="s">
        <v>85</v>
      </c>
      <c r="J176">
        <v>20000</v>
      </c>
      <c r="K176" t="str">
        <f>_xlfn.XLOOKUP(Sales_Data[[#This Row],[Product_ID]],products!A:A,products!B:B,"Not Found")</f>
        <v>Keyboard</v>
      </c>
      <c r="L176" t="str">
        <f>_xlfn.XLOOKUP(Sales_Data[[#This Row],[Product_ID]],products!A:A,products!C:C,"Not Found")</f>
        <v>Accessories</v>
      </c>
      <c r="M176" t="str">
        <f>_xlfn.XLOOKUP(C176,customers!A:A,customers!B:B,"Not Found")</f>
        <v>Sahil Khan</v>
      </c>
      <c r="N176" t="str">
        <f>_xlfn.XLOOKUP(C175,customers!A:A,customers!C:C,"Not Found")</f>
        <v>Indore</v>
      </c>
      <c r="O176" t="str">
        <f>IF(Sales_Data[[#This Row],[Total_Sales]]&gt;=50000,"High","Low")</f>
        <v>Low</v>
      </c>
    </row>
    <row r="177" spans="1:15" x14ac:dyDescent="0.3">
      <c r="A177">
        <v>1176</v>
      </c>
      <c r="B177" s="4">
        <v>46188</v>
      </c>
      <c r="C177" t="s">
        <v>12</v>
      </c>
      <c r="D177" t="s">
        <v>66</v>
      </c>
      <c r="E177">
        <v>2</v>
      </c>
      <c r="F177">
        <v>30000</v>
      </c>
      <c r="G177" t="s">
        <v>86</v>
      </c>
      <c r="H177" t="s">
        <v>88</v>
      </c>
      <c r="I177" t="s">
        <v>85</v>
      </c>
      <c r="J177">
        <v>60000</v>
      </c>
      <c r="K177" t="str">
        <f>_xlfn.XLOOKUP(Sales_Data[[#This Row],[Product_ID]],products!A:A,products!B:B,"Not Found")</f>
        <v>Smartphone</v>
      </c>
      <c r="L177" t="str">
        <f>_xlfn.XLOOKUP(Sales_Data[[#This Row],[Product_ID]],products!A:A,products!C:C,"Not Found")</f>
        <v>Electronics</v>
      </c>
      <c r="M177" t="str">
        <f>_xlfn.XLOOKUP(C177,customers!A:A,customers!B:B,"Not Found")</f>
        <v>Sneha Joshi</v>
      </c>
      <c r="N177" t="str">
        <f>_xlfn.XLOOKUP(C176,customers!A:A,customers!C:C,"Not Found")</f>
        <v>Pune</v>
      </c>
      <c r="O177" t="str">
        <f>IF(Sales_Data[[#This Row],[Total_Sales]]&gt;=50000,"High","Low")</f>
        <v>High</v>
      </c>
    </row>
    <row r="178" spans="1:15" x14ac:dyDescent="0.3">
      <c r="A178">
        <v>1177</v>
      </c>
      <c r="B178" s="4">
        <v>46058</v>
      </c>
      <c r="C178" t="s">
        <v>6</v>
      </c>
      <c r="D178" t="s">
        <v>60</v>
      </c>
      <c r="E178">
        <v>1</v>
      </c>
      <c r="F178">
        <v>22000</v>
      </c>
      <c r="G178" t="s">
        <v>78</v>
      </c>
      <c r="H178" t="s">
        <v>83</v>
      </c>
      <c r="I178" t="s">
        <v>81</v>
      </c>
      <c r="J178">
        <v>22000</v>
      </c>
      <c r="K178" t="str">
        <f>_xlfn.XLOOKUP(Sales_Data[[#This Row],[Product_ID]],products!A:A,products!B:B,"Not Found")</f>
        <v>Tablet</v>
      </c>
      <c r="L178" t="str">
        <f>_xlfn.XLOOKUP(Sales_Data[[#This Row],[Product_ID]],products!A:A,products!C:C,"Not Found")</f>
        <v>Electronics</v>
      </c>
      <c r="M178" t="str">
        <f>_xlfn.XLOOKUP(C178,customers!A:A,customers!B:B,"Not Found")</f>
        <v>Priya Patil</v>
      </c>
      <c r="N178" t="str">
        <f>_xlfn.XLOOKUP(C177,customers!A:A,customers!C:C,"Not Found")</f>
        <v>Nashik</v>
      </c>
      <c r="O178" t="str">
        <f>IF(Sales_Data[[#This Row],[Total_Sales]]&gt;=50000,"High","Low")</f>
        <v>Low</v>
      </c>
    </row>
    <row r="179" spans="1:15" x14ac:dyDescent="0.3">
      <c r="A179">
        <v>1178</v>
      </c>
      <c r="B179" s="4">
        <v>46083</v>
      </c>
      <c r="C179" t="s">
        <v>6</v>
      </c>
      <c r="D179" t="s">
        <v>49</v>
      </c>
      <c r="E179">
        <v>3</v>
      </c>
      <c r="F179">
        <v>2500</v>
      </c>
      <c r="G179" t="s">
        <v>89</v>
      </c>
      <c r="H179" t="s">
        <v>88</v>
      </c>
      <c r="I179" t="s">
        <v>85</v>
      </c>
      <c r="J179">
        <v>7500</v>
      </c>
      <c r="K179" t="str">
        <f>_xlfn.XLOOKUP(Sales_Data[[#This Row],[Product_ID]],products!A:A,products!B:B,"Not Found")</f>
        <v>Keyboard</v>
      </c>
      <c r="L179" t="str">
        <f>_xlfn.XLOOKUP(Sales_Data[[#This Row],[Product_ID]],products!A:A,products!C:C,"Not Found")</f>
        <v>Accessories</v>
      </c>
      <c r="M179" t="str">
        <f>_xlfn.XLOOKUP(C179,customers!A:A,customers!B:B,"Not Found")</f>
        <v>Priya Patil</v>
      </c>
      <c r="N179" t="str">
        <f>_xlfn.XLOOKUP(C178,customers!A:A,customers!C:C,"Not Found")</f>
        <v>Pune</v>
      </c>
      <c r="O179" t="str">
        <f>IF(Sales_Data[[#This Row],[Total_Sales]]&gt;=50000,"High","Low")</f>
        <v>Low</v>
      </c>
    </row>
    <row r="180" spans="1:15" x14ac:dyDescent="0.3">
      <c r="A180">
        <v>1179</v>
      </c>
      <c r="B180" s="4">
        <v>46173</v>
      </c>
      <c r="C180" t="s">
        <v>21</v>
      </c>
      <c r="D180" t="s">
        <v>64</v>
      </c>
      <c r="E180">
        <v>3</v>
      </c>
      <c r="F180">
        <v>900</v>
      </c>
      <c r="G180" t="s">
        <v>89</v>
      </c>
      <c r="H180" t="s">
        <v>79</v>
      </c>
      <c r="I180" t="s">
        <v>81</v>
      </c>
      <c r="J180">
        <v>2700</v>
      </c>
      <c r="K180" t="str">
        <f>_xlfn.XLOOKUP(Sales_Data[[#This Row],[Product_ID]],products!A:A,products!B:B,"Not Found")</f>
        <v>USB Drive</v>
      </c>
      <c r="L180" t="str">
        <f>_xlfn.XLOOKUP(Sales_Data[[#This Row],[Product_ID]],products!A:A,products!C:C,"Not Found")</f>
        <v>Accessories</v>
      </c>
      <c r="M180" t="str">
        <f>_xlfn.XLOOKUP(C180,customers!A:A,customers!B:B,"Not Found")</f>
        <v>Karan Mehta</v>
      </c>
      <c r="N180" t="str">
        <f>_xlfn.XLOOKUP(C179,customers!A:A,customers!C:C,"Not Found")</f>
        <v>Pune</v>
      </c>
      <c r="O180" t="str">
        <f>IF(Sales_Data[[#This Row],[Total_Sales]]&gt;=50000,"High","Low")</f>
        <v>Low</v>
      </c>
    </row>
    <row r="181" spans="1:15" x14ac:dyDescent="0.3">
      <c r="A181">
        <v>1180</v>
      </c>
      <c r="B181" s="4">
        <v>46094</v>
      </c>
      <c r="C181" t="s">
        <v>21</v>
      </c>
      <c r="D181" t="s">
        <v>66</v>
      </c>
      <c r="E181">
        <v>1</v>
      </c>
      <c r="F181">
        <v>30000</v>
      </c>
      <c r="G181" t="s">
        <v>86</v>
      </c>
      <c r="H181" t="s">
        <v>83</v>
      </c>
      <c r="I181" t="s">
        <v>87</v>
      </c>
      <c r="J181">
        <v>30000</v>
      </c>
      <c r="K181" t="str">
        <f>_xlfn.XLOOKUP(Sales_Data[[#This Row],[Product_ID]],products!A:A,products!B:B,"Not Found")</f>
        <v>Smartphone</v>
      </c>
      <c r="L181" t="str">
        <f>_xlfn.XLOOKUP(Sales_Data[[#This Row],[Product_ID]],products!A:A,products!C:C,"Not Found")</f>
        <v>Electronics</v>
      </c>
      <c r="M181" t="str">
        <f>_xlfn.XLOOKUP(C181,customers!A:A,customers!B:B,"Not Found")</f>
        <v>Karan Mehta</v>
      </c>
      <c r="N181" t="str">
        <f>_xlfn.XLOOKUP(C180,customers!A:A,customers!C:C,"Not Found")</f>
        <v>Bhopal</v>
      </c>
      <c r="O181" t="str">
        <f>IF(Sales_Data[[#This Row],[Total_Sales]]&gt;=50000,"High","Low")</f>
        <v>Low</v>
      </c>
    </row>
    <row r="182" spans="1:15" x14ac:dyDescent="0.3">
      <c r="A182">
        <v>1181</v>
      </c>
      <c r="B182" s="4">
        <v>46083</v>
      </c>
      <c r="C182" t="s">
        <v>24</v>
      </c>
      <c r="D182" t="s">
        <v>62</v>
      </c>
      <c r="E182">
        <v>6</v>
      </c>
      <c r="F182">
        <v>3000</v>
      </c>
      <c r="G182" t="s">
        <v>78</v>
      </c>
      <c r="H182" t="s">
        <v>83</v>
      </c>
      <c r="I182" t="s">
        <v>85</v>
      </c>
      <c r="J182">
        <v>18000</v>
      </c>
      <c r="K182" t="str">
        <f>_xlfn.XLOOKUP(Sales_Data[[#This Row],[Product_ID]],products!A:A,products!B:B,"Not Found")</f>
        <v>Webcam</v>
      </c>
      <c r="L182" t="str">
        <f>_xlfn.XLOOKUP(Sales_Data[[#This Row],[Product_ID]],products!A:A,products!C:C,"Not Found")</f>
        <v>Accessories</v>
      </c>
      <c r="M182" t="str">
        <f>_xlfn.XLOOKUP(C182,customers!A:A,customers!B:B,"Not Found")</f>
        <v>Pooja Deshmukh</v>
      </c>
      <c r="N182" t="str">
        <f>_xlfn.XLOOKUP(C181,customers!A:A,customers!C:C,"Not Found")</f>
        <v>Bhopal</v>
      </c>
      <c r="O182" t="str">
        <f>IF(Sales_Data[[#This Row],[Total_Sales]]&gt;=50000,"High","Low")</f>
        <v>Low</v>
      </c>
    </row>
    <row r="183" spans="1:15" x14ac:dyDescent="0.3">
      <c r="A183">
        <v>1182</v>
      </c>
      <c r="B183" s="4">
        <v>46093</v>
      </c>
      <c r="C183" t="s">
        <v>21</v>
      </c>
      <c r="D183" t="s">
        <v>46</v>
      </c>
      <c r="E183">
        <v>4</v>
      </c>
      <c r="F183">
        <v>55000</v>
      </c>
      <c r="G183" t="s">
        <v>78</v>
      </c>
      <c r="H183" t="s">
        <v>88</v>
      </c>
      <c r="I183" t="s">
        <v>77</v>
      </c>
      <c r="J183">
        <v>220000</v>
      </c>
      <c r="K183" t="str">
        <f>_xlfn.XLOOKUP(Sales_Data[[#This Row],[Product_ID]],products!A:A,products!B:B,"Not Found")</f>
        <v>Laptop</v>
      </c>
      <c r="L183" t="str">
        <f>_xlfn.XLOOKUP(Sales_Data[[#This Row],[Product_ID]],products!A:A,products!C:C,"Not Found")</f>
        <v>Electronics</v>
      </c>
      <c r="M183" t="str">
        <f>_xlfn.XLOOKUP(C183,customers!A:A,customers!B:B,"Not Found")</f>
        <v>Karan Mehta</v>
      </c>
      <c r="N183" t="str">
        <f>_xlfn.XLOOKUP(C182,customers!A:A,customers!C:C,"Not Found")</f>
        <v>Aurangabad</v>
      </c>
      <c r="O183" t="str">
        <f>IF(Sales_Data[[#This Row],[Total_Sales]]&gt;=50000,"High","Low")</f>
        <v>High</v>
      </c>
    </row>
    <row r="184" spans="1:15" x14ac:dyDescent="0.3">
      <c r="A184">
        <v>1183</v>
      </c>
      <c r="B184" s="4">
        <v>46186</v>
      </c>
      <c r="C184" t="s">
        <v>32</v>
      </c>
      <c r="D184" t="s">
        <v>54</v>
      </c>
      <c r="E184">
        <v>1</v>
      </c>
      <c r="F184">
        <v>15000</v>
      </c>
      <c r="G184" t="s">
        <v>78</v>
      </c>
      <c r="H184" t="s">
        <v>83</v>
      </c>
      <c r="I184" t="s">
        <v>87</v>
      </c>
      <c r="J184">
        <v>15000</v>
      </c>
      <c r="K184" t="str">
        <f>_xlfn.XLOOKUP(Sales_Data[[#This Row],[Product_ID]],products!A:A,products!B:B,"Not Found")</f>
        <v>Monitor</v>
      </c>
      <c r="L184" t="str">
        <f>_xlfn.XLOOKUP(Sales_Data[[#This Row],[Product_ID]],products!A:A,products!C:C,"Not Found")</f>
        <v>Electronics</v>
      </c>
      <c r="M184" t="str">
        <f>_xlfn.XLOOKUP(C184,customers!A:A,customers!B:B,"Not Found")</f>
        <v>Sahil Khan</v>
      </c>
      <c r="N184" t="str">
        <f>_xlfn.XLOOKUP(C183,customers!A:A,customers!C:C,"Not Found")</f>
        <v>Bhopal</v>
      </c>
      <c r="O184" t="str">
        <f>IF(Sales_Data[[#This Row],[Total_Sales]]&gt;=50000,"High","Low")</f>
        <v>Low</v>
      </c>
    </row>
    <row r="185" spans="1:15" x14ac:dyDescent="0.3">
      <c r="A185">
        <v>1184</v>
      </c>
      <c r="B185" s="4">
        <v>46167</v>
      </c>
      <c r="C185" t="s">
        <v>36</v>
      </c>
      <c r="D185" t="s">
        <v>52</v>
      </c>
      <c r="E185">
        <v>4</v>
      </c>
      <c r="F185">
        <v>800</v>
      </c>
      <c r="G185" t="s">
        <v>78</v>
      </c>
      <c r="H185" t="s">
        <v>84</v>
      </c>
      <c r="I185" t="s">
        <v>87</v>
      </c>
      <c r="J185">
        <v>3200</v>
      </c>
      <c r="K185" t="str">
        <f>_xlfn.XLOOKUP(Sales_Data[[#This Row],[Product_ID]],products!A:A,products!B:B,"Not Found")</f>
        <v>Mouse</v>
      </c>
      <c r="L185" t="str">
        <f>_xlfn.XLOOKUP(Sales_Data[[#This Row],[Product_ID]],products!A:A,products!C:C,"Not Found")</f>
        <v>Accessories</v>
      </c>
      <c r="M185" t="str">
        <f>_xlfn.XLOOKUP(C185,customers!A:A,customers!B:B,"Not Found")</f>
        <v>Akash Jain</v>
      </c>
      <c r="N185" t="str">
        <f>_xlfn.XLOOKUP(C184,customers!A:A,customers!C:C,"Not Found")</f>
        <v>Pune</v>
      </c>
      <c r="O185" t="str">
        <f>IF(Sales_Data[[#This Row],[Total_Sales]]&gt;=50000,"High","Low")</f>
        <v>Low</v>
      </c>
    </row>
    <row r="186" spans="1:15" x14ac:dyDescent="0.3">
      <c r="A186">
        <v>1185</v>
      </c>
      <c r="B186" s="4">
        <v>46082</v>
      </c>
      <c r="C186" t="s">
        <v>12</v>
      </c>
      <c r="D186" t="s">
        <v>66</v>
      </c>
      <c r="E186">
        <v>6</v>
      </c>
      <c r="F186">
        <v>30000</v>
      </c>
      <c r="G186" t="s">
        <v>75</v>
      </c>
      <c r="H186" t="s">
        <v>84</v>
      </c>
      <c r="I186" t="s">
        <v>77</v>
      </c>
      <c r="J186">
        <v>180000</v>
      </c>
      <c r="K186" t="str">
        <f>_xlfn.XLOOKUP(Sales_Data[[#This Row],[Product_ID]],products!A:A,products!B:B,"Not Found")</f>
        <v>Smartphone</v>
      </c>
      <c r="L186" t="str">
        <f>_xlfn.XLOOKUP(Sales_Data[[#This Row],[Product_ID]],products!A:A,products!C:C,"Not Found")</f>
        <v>Electronics</v>
      </c>
      <c r="M186" t="str">
        <f>_xlfn.XLOOKUP(C186,customers!A:A,customers!B:B,"Not Found")</f>
        <v>Sneha Joshi</v>
      </c>
      <c r="N186" t="str">
        <f>_xlfn.XLOOKUP(C185,customers!A:A,customers!C:C,"Not Found")</f>
        <v>Nashik</v>
      </c>
      <c r="O186" t="str">
        <f>IF(Sales_Data[[#This Row],[Total_Sales]]&gt;=50000,"High","Low")</f>
        <v>High</v>
      </c>
    </row>
    <row r="187" spans="1:15" x14ac:dyDescent="0.3">
      <c r="A187">
        <v>1186</v>
      </c>
      <c r="B187" s="4">
        <v>46060</v>
      </c>
      <c r="C187" t="s">
        <v>38</v>
      </c>
      <c r="D187" t="s">
        <v>56</v>
      </c>
      <c r="E187">
        <v>3</v>
      </c>
      <c r="F187">
        <v>3500</v>
      </c>
      <c r="G187" t="s">
        <v>80</v>
      </c>
      <c r="H187" t="s">
        <v>83</v>
      </c>
      <c r="I187" t="s">
        <v>87</v>
      </c>
      <c r="J187">
        <v>10500</v>
      </c>
      <c r="K187" t="str">
        <f>_xlfn.XLOOKUP(Sales_Data[[#This Row],[Product_ID]],products!A:A,products!B:B,"Not Found")</f>
        <v>Headphones</v>
      </c>
      <c r="L187" t="str">
        <f>_xlfn.XLOOKUP(Sales_Data[[#This Row],[Product_ID]],products!A:A,products!C:C,"Not Found")</f>
        <v>Accessories</v>
      </c>
      <c r="M187" t="str">
        <f>_xlfn.XLOOKUP(C187,customers!A:A,customers!B:B,"Not Found")</f>
        <v>Komal Pawar</v>
      </c>
      <c r="N187" t="str">
        <f>_xlfn.XLOOKUP(C186,customers!A:A,customers!C:C,"Not Found")</f>
        <v>Nashik</v>
      </c>
      <c r="O187" t="str">
        <f>IF(Sales_Data[[#This Row],[Total_Sales]]&gt;=50000,"High","Low")</f>
        <v>Low</v>
      </c>
    </row>
    <row r="188" spans="1:15" x14ac:dyDescent="0.3">
      <c r="A188">
        <v>1187</v>
      </c>
      <c r="B188" s="4">
        <v>46029</v>
      </c>
      <c r="C188" t="s">
        <v>32</v>
      </c>
      <c r="D188" t="s">
        <v>49</v>
      </c>
      <c r="E188">
        <v>3</v>
      </c>
      <c r="F188">
        <v>2500</v>
      </c>
      <c r="G188" t="s">
        <v>78</v>
      </c>
      <c r="H188" t="s">
        <v>83</v>
      </c>
      <c r="I188" t="s">
        <v>87</v>
      </c>
      <c r="J188">
        <v>7500</v>
      </c>
      <c r="K188" t="str">
        <f>_xlfn.XLOOKUP(Sales_Data[[#This Row],[Product_ID]],products!A:A,products!B:B,"Not Found")</f>
        <v>Keyboard</v>
      </c>
      <c r="L188" t="str">
        <f>_xlfn.XLOOKUP(Sales_Data[[#This Row],[Product_ID]],products!A:A,products!C:C,"Not Found")</f>
        <v>Accessories</v>
      </c>
      <c r="M188" t="str">
        <f>_xlfn.XLOOKUP(C188,customers!A:A,customers!B:B,"Not Found")</f>
        <v>Sahil Khan</v>
      </c>
      <c r="N188" t="str">
        <f>_xlfn.XLOOKUP(C187,customers!A:A,customers!C:C,"Not Found")</f>
        <v>Indore</v>
      </c>
      <c r="O188" t="str">
        <f>IF(Sales_Data[[#This Row],[Total_Sales]]&gt;=50000,"High","Low")</f>
        <v>Low</v>
      </c>
    </row>
    <row r="189" spans="1:15" x14ac:dyDescent="0.3">
      <c r="A189">
        <v>1188</v>
      </c>
      <c r="B189" s="4">
        <v>46027</v>
      </c>
      <c r="C189" t="s">
        <v>18</v>
      </c>
      <c r="D189" t="s">
        <v>66</v>
      </c>
      <c r="E189">
        <v>3</v>
      </c>
      <c r="F189">
        <v>30000</v>
      </c>
      <c r="G189" t="s">
        <v>82</v>
      </c>
      <c r="H189" t="s">
        <v>79</v>
      </c>
      <c r="I189" t="s">
        <v>87</v>
      </c>
      <c r="J189">
        <v>90000</v>
      </c>
      <c r="K189" t="str">
        <f>_xlfn.XLOOKUP(Sales_Data[[#This Row],[Product_ID]],products!A:A,products!B:B,"Not Found")</f>
        <v>Smartphone</v>
      </c>
      <c r="L189" t="str">
        <f>_xlfn.XLOOKUP(Sales_Data[[#This Row],[Product_ID]],products!A:A,products!C:C,"Not Found")</f>
        <v>Electronics</v>
      </c>
      <c r="M189" t="str">
        <f>_xlfn.XLOOKUP(C189,customers!A:A,customers!B:B,"Not Found")</f>
        <v>Neha Gupta</v>
      </c>
      <c r="N189" t="str">
        <f>_xlfn.XLOOKUP(C188,customers!A:A,customers!C:C,"Not Found")</f>
        <v>Pune</v>
      </c>
      <c r="O189" t="str">
        <f>IF(Sales_Data[[#This Row],[Total_Sales]]&gt;=50000,"High","Low")</f>
        <v>High</v>
      </c>
    </row>
    <row r="190" spans="1:15" x14ac:dyDescent="0.3">
      <c r="A190">
        <v>1189</v>
      </c>
      <c r="B190" s="4">
        <v>46052</v>
      </c>
      <c r="C190" t="s">
        <v>27</v>
      </c>
      <c r="D190" t="s">
        <v>60</v>
      </c>
      <c r="E190">
        <v>2</v>
      </c>
      <c r="F190">
        <v>22000</v>
      </c>
      <c r="G190" t="s">
        <v>89</v>
      </c>
      <c r="H190" t="s">
        <v>88</v>
      </c>
      <c r="I190" t="s">
        <v>85</v>
      </c>
      <c r="J190">
        <v>44000</v>
      </c>
      <c r="K190" t="str">
        <f>_xlfn.XLOOKUP(Sales_Data[[#This Row],[Product_ID]],products!A:A,products!B:B,"Not Found")</f>
        <v>Tablet</v>
      </c>
      <c r="L190" t="str">
        <f>_xlfn.XLOOKUP(Sales_Data[[#This Row],[Product_ID]],products!A:A,products!C:C,"Not Found")</f>
        <v>Electronics</v>
      </c>
      <c r="M190" t="str">
        <f>_xlfn.XLOOKUP(C190,customers!A:A,customers!B:B,"Not Found")</f>
        <v>Vikas Yadav</v>
      </c>
      <c r="N190" t="str">
        <f>_xlfn.XLOOKUP(C189,customers!A:A,customers!C:C,"Not Found")</f>
        <v>Indore</v>
      </c>
      <c r="O190" t="str">
        <f>IF(Sales_Data[[#This Row],[Total_Sales]]&gt;=50000,"High","Low")</f>
        <v>Low</v>
      </c>
    </row>
    <row r="191" spans="1:15" x14ac:dyDescent="0.3">
      <c r="A191">
        <v>1190</v>
      </c>
      <c r="B191" s="4">
        <v>46050</v>
      </c>
      <c r="C191" t="s">
        <v>30</v>
      </c>
      <c r="D191" t="s">
        <v>64</v>
      </c>
      <c r="E191">
        <v>8</v>
      </c>
      <c r="F191">
        <v>900</v>
      </c>
      <c r="G191" t="s">
        <v>80</v>
      </c>
      <c r="H191" t="s">
        <v>76</v>
      </c>
      <c r="I191" t="s">
        <v>77</v>
      </c>
      <c r="J191">
        <v>7200</v>
      </c>
      <c r="K191" t="str">
        <f>_xlfn.XLOOKUP(Sales_Data[[#This Row],[Product_ID]],products!A:A,products!B:B,"Not Found")</f>
        <v>USB Drive</v>
      </c>
      <c r="L191" t="str">
        <f>_xlfn.XLOOKUP(Sales_Data[[#This Row],[Product_ID]],products!A:A,products!C:C,"Not Found")</f>
        <v>Accessories</v>
      </c>
      <c r="M191" t="str">
        <f>_xlfn.XLOOKUP(C191,customers!A:A,customers!B:B,"Not Found")</f>
        <v>Anjali Kulkarni</v>
      </c>
      <c r="N191" t="str">
        <f>_xlfn.XLOOKUP(C190,customers!A:A,customers!C:C,"Not Found")</f>
        <v>Thane</v>
      </c>
      <c r="O191" t="str">
        <f>IF(Sales_Data[[#This Row],[Total_Sales]]&gt;=50000,"High","Low")</f>
        <v>Low</v>
      </c>
    </row>
    <row r="192" spans="1:15" x14ac:dyDescent="0.3">
      <c r="A192">
        <v>1191</v>
      </c>
      <c r="B192" s="4">
        <v>46140</v>
      </c>
      <c r="C192" t="s">
        <v>15</v>
      </c>
      <c r="D192" t="s">
        <v>64</v>
      </c>
      <c r="E192">
        <v>1</v>
      </c>
      <c r="F192">
        <v>900</v>
      </c>
      <c r="G192" t="s">
        <v>78</v>
      </c>
      <c r="H192" t="s">
        <v>88</v>
      </c>
      <c r="I192" t="s">
        <v>81</v>
      </c>
      <c r="J192">
        <v>900</v>
      </c>
      <c r="K192" t="str">
        <f>_xlfn.XLOOKUP(Sales_Data[[#This Row],[Product_ID]],products!A:A,products!B:B,"Not Found")</f>
        <v>USB Drive</v>
      </c>
      <c r="L192" t="str">
        <f>_xlfn.XLOOKUP(Sales_Data[[#This Row],[Product_ID]],products!A:A,products!C:C,"Not Found")</f>
        <v>Accessories</v>
      </c>
      <c r="M192" t="str">
        <f>_xlfn.XLOOKUP(C192,customers!A:A,customers!B:B,"Not Found")</f>
        <v>Rohit Singh</v>
      </c>
      <c r="N192" t="str">
        <f>_xlfn.XLOOKUP(C191,customers!A:A,customers!C:C,"Not Found")</f>
        <v>Nagpur</v>
      </c>
      <c r="O192" t="str">
        <f>IF(Sales_Data[[#This Row],[Total_Sales]]&gt;=50000,"High","Low")</f>
        <v>Low</v>
      </c>
    </row>
    <row r="193" spans="1:15" x14ac:dyDescent="0.3">
      <c r="A193">
        <v>1192</v>
      </c>
      <c r="B193" s="4">
        <v>46050</v>
      </c>
      <c r="C193" t="s">
        <v>32</v>
      </c>
      <c r="D193" t="s">
        <v>60</v>
      </c>
      <c r="E193">
        <v>8</v>
      </c>
      <c r="F193">
        <v>22000</v>
      </c>
      <c r="G193" t="s">
        <v>86</v>
      </c>
      <c r="H193" t="s">
        <v>88</v>
      </c>
      <c r="I193" t="s">
        <v>77</v>
      </c>
      <c r="J193">
        <v>176000</v>
      </c>
      <c r="K193" t="str">
        <f>_xlfn.XLOOKUP(Sales_Data[[#This Row],[Product_ID]],products!A:A,products!B:B,"Not Found")</f>
        <v>Tablet</v>
      </c>
      <c r="L193" t="str">
        <f>_xlfn.XLOOKUP(Sales_Data[[#This Row],[Product_ID]],products!A:A,products!C:C,"Not Found")</f>
        <v>Electronics</v>
      </c>
      <c r="M193" t="str">
        <f>_xlfn.XLOOKUP(C193,customers!A:A,customers!B:B,"Not Found")</f>
        <v>Sahil Khan</v>
      </c>
      <c r="N193" t="str">
        <f>_xlfn.XLOOKUP(C192,customers!A:A,customers!C:C,"Not Found")</f>
        <v>Delhi</v>
      </c>
      <c r="O193" t="str">
        <f>IF(Sales_Data[[#This Row],[Total_Sales]]&gt;=50000,"High","Low")</f>
        <v>High</v>
      </c>
    </row>
    <row r="194" spans="1:15" x14ac:dyDescent="0.3">
      <c r="A194">
        <v>1193</v>
      </c>
      <c r="B194" s="4">
        <v>46178</v>
      </c>
      <c r="C194" t="s">
        <v>18</v>
      </c>
      <c r="D194" t="s">
        <v>49</v>
      </c>
      <c r="E194">
        <v>3</v>
      </c>
      <c r="F194">
        <v>2500</v>
      </c>
      <c r="G194" t="s">
        <v>78</v>
      </c>
      <c r="H194" t="s">
        <v>76</v>
      </c>
      <c r="I194" t="s">
        <v>85</v>
      </c>
      <c r="J194">
        <v>7500</v>
      </c>
      <c r="K194" t="str">
        <f>_xlfn.XLOOKUP(Sales_Data[[#This Row],[Product_ID]],products!A:A,products!B:B,"Not Found")</f>
        <v>Keyboard</v>
      </c>
      <c r="L194" t="str">
        <f>_xlfn.XLOOKUP(Sales_Data[[#This Row],[Product_ID]],products!A:A,products!C:C,"Not Found")</f>
        <v>Accessories</v>
      </c>
      <c r="M194" t="str">
        <f>_xlfn.XLOOKUP(C194,customers!A:A,customers!B:B,"Not Found")</f>
        <v>Neha Gupta</v>
      </c>
      <c r="N194" t="str">
        <f>_xlfn.XLOOKUP(C193,customers!A:A,customers!C:C,"Not Found")</f>
        <v>Pune</v>
      </c>
      <c r="O194" t="str">
        <f>IF(Sales_Data[[#This Row],[Total_Sales]]&gt;=50000,"High","Low")</f>
        <v>Low</v>
      </c>
    </row>
    <row r="195" spans="1:15" x14ac:dyDescent="0.3">
      <c r="A195">
        <v>1194</v>
      </c>
      <c r="B195" s="4">
        <v>46172</v>
      </c>
      <c r="C195" t="s">
        <v>32</v>
      </c>
      <c r="D195" t="s">
        <v>66</v>
      </c>
      <c r="E195">
        <v>6</v>
      </c>
      <c r="F195">
        <v>30000</v>
      </c>
      <c r="G195" t="s">
        <v>89</v>
      </c>
      <c r="H195" t="s">
        <v>84</v>
      </c>
      <c r="I195" t="s">
        <v>85</v>
      </c>
      <c r="J195">
        <v>180000</v>
      </c>
      <c r="K195" t="str">
        <f>_xlfn.XLOOKUP(Sales_Data[[#This Row],[Product_ID]],products!A:A,products!B:B,"Not Found")</f>
        <v>Smartphone</v>
      </c>
      <c r="L195" t="str">
        <f>_xlfn.XLOOKUP(Sales_Data[[#This Row],[Product_ID]],products!A:A,products!C:C,"Not Found")</f>
        <v>Electronics</v>
      </c>
      <c r="M195" t="str">
        <f>_xlfn.XLOOKUP(C195,customers!A:A,customers!B:B,"Not Found")</f>
        <v>Sahil Khan</v>
      </c>
      <c r="N195" t="str">
        <f>_xlfn.XLOOKUP(C194,customers!A:A,customers!C:C,"Not Found")</f>
        <v>Indore</v>
      </c>
      <c r="O195" t="str">
        <f>IF(Sales_Data[[#This Row],[Total_Sales]]&gt;=50000,"High","Low")</f>
        <v>High</v>
      </c>
    </row>
    <row r="196" spans="1:15" x14ac:dyDescent="0.3">
      <c r="A196">
        <v>1195</v>
      </c>
      <c r="B196" s="4">
        <v>46177</v>
      </c>
      <c r="C196" t="s">
        <v>27</v>
      </c>
      <c r="D196" t="s">
        <v>62</v>
      </c>
      <c r="E196">
        <v>7</v>
      </c>
      <c r="F196">
        <v>3000</v>
      </c>
      <c r="G196" t="s">
        <v>78</v>
      </c>
      <c r="H196" t="s">
        <v>79</v>
      </c>
      <c r="I196" t="s">
        <v>87</v>
      </c>
      <c r="J196">
        <v>21000</v>
      </c>
      <c r="K196" t="str">
        <f>_xlfn.XLOOKUP(Sales_Data[[#This Row],[Product_ID]],products!A:A,products!B:B,"Not Found")</f>
        <v>Webcam</v>
      </c>
      <c r="L196" t="str">
        <f>_xlfn.XLOOKUP(Sales_Data[[#This Row],[Product_ID]],products!A:A,products!C:C,"Not Found")</f>
        <v>Accessories</v>
      </c>
      <c r="M196" t="str">
        <f>_xlfn.XLOOKUP(C196,customers!A:A,customers!B:B,"Not Found")</f>
        <v>Vikas Yadav</v>
      </c>
      <c r="N196" t="str">
        <f>_xlfn.XLOOKUP(C195,customers!A:A,customers!C:C,"Not Found")</f>
        <v>Pune</v>
      </c>
      <c r="O196" t="str">
        <f>IF(Sales_Data[[#This Row],[Total_Sales]]&gt;=50000,"High","Low")</f>
        <v>Low</v>
      </c>
    </row>
    <row r="197" spans="1:15" x14ac:dyDescent="0.3">
      <c r="A197">
        <v>1196</v>
      </c>
      <c r="B197" s="4">
        <v>46081</v>
      </c>
      <c r="C197" t="s">
        <v>24</v>
      </c>
      <c r="D197" t="s">
        <v>60</v>
      </c>
      <c r="E197">
        <v>7</v>
      </c>
      <c r="F197">
        <v>22000</v>
      </c>
      <c r="G197" t="s">
        <v>82</v>
      </c>
      <c r="H197" t="s">
        <v>88</v>
      </c>
      <c r="I197" t="s">
        <v>81</v>
      </c>
      <c r="J197">
        <v>154000</v>
      </c>
      <c r="K197" t="str">
        <f>_xlfn.XLOOKUP(Sales_Data[[#This Row],[Product_ID]],products!A:A,products!B:B,"Not Found")</f>
        <v>Tablet</v>
      </c>
      <c r="L197" t="str">
        <f>_xlfn.XLOOKUP(Sales_Data[[#This Row],[Product_ID]],products!A:A,products!C:C,"Not Found")</f>
        <v>Electronics</v>
      </c>
      <c r="M197" t="str">
        <f>_xlfn.XLOOKUP(C197,customers!A:A,customers!B:B,"Not Found")</f>
        <v>Pooja Deshmukh</v>
      </c>
      <c r="N197" t="str">
        <f>_xlfn.XLOOKUP(C196,customers!A:A,customers!C:C,"Not Found")</f>
        <v>Thane</v>
      </c>
      <c r="O197" t="str">
        <f>IF(Sales_Data[[#This Row],[Total_Sales]]&gt;=50000,"High","Low")</f>
        <v>High</v>
      </c>
    </row>
    <row r="198" spans="1:15" x14ac:dyDescent="0.3">
      <c r="A198">
        <v>1197</v>
      </c>
      <c r="B198" s="4">
        <v>46047</v>
      </c>
      <c r="C198" t="s">
        <v>34</v>
      </c>
      <c r="D198" t="s">
        <v>60</v>
      </c>
      <c r="E198">
        <v>6</v>
      </c>
      <c r="F198">
        <v>22000</v>
      </c>
      <c r="G198" t="s">
        <v>89</v>
      </c>
      <c r="H198" t="s">
        <v>83</v>
      </c>
      <c r="I198" t="s">
        <v>85</v>
      </c>
      <c r="J198">
        <v>132000</v>
      </c>
      <c r="K198" t="str">
        <f>_xlfn.XLOOKUP(Sales_Data[[#This Row],[Product_ID]],products!A:A,products!B:B,"Not Found")</f>
        <v>Tablet</v>
      </c>
      <c r="L198" t="str">
        <f>_xlfn.XLOOKUP(Sales_Data[[#This Row],[Product_ID]],products!A:A,products!C:C,"Not Found")</f>
        <v>Electronics</v>
      </c>
      <c r="M198" t="str">
        <f>_xlfn.XLOOKUP(C198,customers!A:A,customers!B:B,"Not Found")</f>
        <v>Riya Shah</v>
      </c>
      <c r="N198" t="str">
        <f>_xlfn.XLOOKUP(C197,customers!A:A,customers!C:C,"Not Found")</f>
        <v>Aurangabad</v>
      </c>
      <c r="O198" t="str">
        <f>IF(Sales_Data[[#This Row],[Total_Sales]]&gt;=50000,"High","Low")</f>
        <v>High</v>
      </c>
    </row>
    <row r="199" spans="1:15" x14ac:dyDescent="0.3">
      <c r="A199">
        <v>1198</v>
      </c>
      <c r="B199" s="4">
        <v>46198</v>
      </c>
      <c r="C199" t="s">
        <v>9</v>
      </c>
      <c r="D199" t="s">
        <v>58</v>
      </c>
      <c r="E199">
        <v>8</v>
      </c>
      <c r="F199">
        <v>12000</v>
      </c>
      <c r="G199" t="s">
        <v>78</v>
      </c>
      <c r="H199" t="s">
        <v>79</v>
      </c>
      <c r="I199" t="s">
        <v>77</v>
      </c>
      <c r="J199">
        <v>96000</v>
      </c>
      <c r="K199" t="str">
        <f>_xlfn.XLOOKUP(Sales_Data[[#This Row],[Product_ID]],products!A:A,products!B:B,"Not Found")</f>
        <v>Printer</v>
      </c>
      <c r="L199" t="str">
        <f>_xlfn.XLOOKUP(Sales_Data[[#This Row],[Product_ID]],products!A:A,products!C:C,"Not Found")</f>
        <v>Electronics</v>
      </c>
      <c r="M199" t="str">
        <f>_xlfn.XLOOKUP(C199,customers!A:A,customers!B:B,"Not Found")</f>
        <v>Amit Verma</v>
      </c>
      <c r="N199" t="str">
        <f>_xlfn.XLOOKUP(C198,customers!A:A,customers!C:C,"Not Found")</f>
        <v>Mumbai</v>
      </c>
      <c r="O199" t="str">
        <f>IF(Sales_Data[[#This Row],[Total_Sales]]&gt;=50000,"High","Low")</f>
        <v>High</v>
      </c>
    </row>
    <row r="200" spans="1:15" x14ac:dyDescent="0.3">
      <c r="A200">
        <v>1199</v>
      </c>
      <c r="B200" s="4">
        <v>46047</v>
      </c>
      <c r="C200" t="s">
        <v>21</v>
      </c>
      <c r="D200" t="s">
        <v>49</v>
      </c>
      <c r="E200">
        <v>6</v>
      </c>
      <c r="F200">
        <v>2500</v>
      </c>
      <c r="G200" t="s">
        <v>75</v>
      </c>
      <c r="H200" t="s">
        <v>84</v>
      </c>
      <c r="I200" t="s">
        <v>77</v>
      </c>
      <c r="J200">
        <v>15000</v>
      </c>
      <c r="K200" t="str">
        <f>_xlfn.XLOOKUP(Sales_Data[[#This Row],[Product_ID]],products!A:A,products!B:B,"Not Found")</f>
        <v>Keyboard</v>
      </c>
      <c r="L200" t="str">
        <f>_xlfn.XLOOKUP(Sales_Data[[#This Row],[Product_ID]],products!A:A,products!C:C,"Not Found")</f>
        <v>Accessories</v>
      </c>
      <c r="M200" t="str">
        <f>_xlfn.XLOOKUP(C200,customers!A:A,customers!B:B,"Not Found")</f>
        <v>Karan Mehta</v>
      </c>
      <c r="N200" t="str">
        <f>_xlfn.XLOOKUP(C199,customers!A:A,customers!C:C,"Not Found")</f>
        <v>Mumbai</v>
      </c>
      <c r="O200" t="str">
        <f>IF(Sales_Data[[#This Row],[Total_Sales]]&gt;=50000,"High","Low")</f>
        <v>Low</v>
      </c>
    </row>
    <row r="201" spans="1:15" x14ac:dyDescent="0.3">
      <c r="A201">
        <v>1200</v>
      </c>
      <c r="B201" s="4">
        <v>46166</v>
      </c>
      <c r="C201" t="s">
        <v>27</v>
      </c>
      <c r="D201" t="s">
        <v>66</v>
      </c>
      <c r="E201">
        <v>6</v>
      </c>
      <c r="F201">
        <v>30000</v>
      </c>
      <c r="G201" t="s">
        <v>86</v>
      </c>
      <c r="H201" t="s">
        <v>79</v>
      </c>
      <c r="I201" t="s">
        <v>81</v>
      </c>
      <c r="J201">
        <v>180000</v>
      </c>
      <c r="K201" t="str">
        <f>_xlfn.XLOOKUP(Sales_Data[[#This Row],[Product_ID]],products!A:A,products!B:B,"Not Found")</f>
        <v>Smartphone</v>
      </c>
      <c r="L201" t="str">
        <f>_xlfn.XLOOKUP(Sales_Data[[#This Row],[Product_ID]],products!A:A,products!C:C,"Not Found")</f>
        <v>Electronics</v>
      </c>
      <c r="M201" t="str">
        <f>_xlfn.XLOOKUP(C201,customers!A:A,customers!B:B,"Not Found")</f>
        <v>Vikas Yadav</v>
      </c>
      <c r="N201" t="str">
        <f>_xlfn.XLOOKUP(C200,customers!A:A,customers!C:C,"Not Found")</f>
        <v>Bhopal</v>
      </c>
      <c r="O201" t="str">
        <f>IF(Sales_Data[[#This Row],[Total_Sales]]&gt;=50000,"High","Low")</f>
        <v>High</v>
      </c>
    </row>
    <row r="202" spans="1:15" x14ac:dyDescent="0.3">
      <c r="A202">
        <v>1201</v>
      </c>
      <c r="B202" s="4">
        <v>46193</v>
      </c>
      <c r="C202" t="s">
        <v>38</v>
      </c>
      <c r="D202" t="s">
        <v>58</v>
      </c>
      <c r="E202">
        <v>7</v>
      </c>
      <c r="F202">
        <v>12000</v>
      </c>
      <c r="G202" t="s">
        <v>86</v>
      </c>
      <c r="H202" t="s">
        <v>79</v>
      </c>
      <c r="I202" t="s">
        <v>85</v>
      </c>
      <c r="J202">
        <v>84000</v>
      </c>
      <c r="K202" t="str">
        <f>_xlfn.XLOOKUP(Sales_Data[[#This Row],[Product_ID]],products!A:A,products!B:B,"Not Found")</f>
        <v>Printer</v>
      </c>
      <c r="L202" t="str">
        <f>_xlfn.XLOOKUP(Sales_Data[[#This Row],[Product_ID]],products!A:A,products!C:C,"Not Found")</f>
        <v>Electronics</v>
      </c>
      <c r="M202" t="str">
        <f>_xlfn.XLOOKUP(C202,customers!A:A,customers!B:B,"Not Found")</f>
        <v>Komal Pawar</v>
      </c>
      <c r="N202" t="str">
        <f>_xlfn.XLOOKUP(C201,customers!A:A,customers!C:C,"Not Found")</f>
        <v>Thane</v>
      </c>
      <c r="O202" t="str">
        <f>IF(Sales_Data[[#This Row],[Total_Sales]]&gt;=50000,"High","Low")</f>
        <v>High</v>
      </c>
    </row>
    <row r="203" spans="1:15" x14ac:dyDescent="0.3">
      <c r="A203">
        <v>1202</v>
      </c>
      <c r="B203" s="4">
        <v>46113</v>
      </c>
      <c r="C203" t="s">
        <v>15</v>
      </c>
      <c r="D203" t="s">
        <v>66</v>
      </c>
      <c r="E203">
        <v>2</v>
      </c>
      <c r="F203">
        <v>30000</v>
      </c>
      <c r="G203" t="s">
        <v>80</v>
      </c>
      <c r="H203" t="s">
        <v>84</v>
      </c>
      <c r="I203" t="s">
        <v>87</v>
      </c>
      <c r="J203">
        <v>60000</v>
      </c>
      <c r="K203" t="str">
        <f>_xlfn.XLOOKUP(Sales_Data[[#This Row],[Product_ID]],products!A:A,products!B:B,"Not Found")</f>
        <v>Smartphone</v>
      </c>
      <c r="L203" t="str">
        <f>_xlfn.XLOOKUP(Sales_Data[[#This Row],[Product_ID]],products!A:A,products!C:C,"Not Found")</f>
        <v>Electronics</v>
      </c>
      <c r="M203" t="str">
        <f>_xlfn.XLOOKUP(C203,customers!A:A,customers!B:B,"Not Found")</f>
        <v>Rohit Singh</v>
      </c>
      <c r="N203" t="str">
        <f>_xlfn.XLOOKUP(C202,customers!A:A,customers!C:C,"Not Found")</f>
        <v>Indore</v>
      </c>
      <c r="O203" t="str">
        <f>IF(Sales_Data[[#This Row],[Total_Sales]]&gt;=50000,"High","Low")</f>
        <v>High</v>
      </c>
    </row>
    <row r="204" spans="1:15" x14ac:dyDescent="0.3">
      <c r="A204">
        <v>1203</v>
      </c>
      <c r="B204" s="4">
        <v>46146</v>
      </c>
      <c r="C204" t="s">
        <v>32</v>
      </c>
      <c r="D204" t="s">
        <v>52</v>
      </c>
      <c r="E204">
        <v>4</v>
      </c>
      <c r="F204">
        <v>800</v>
      </c>
      <c r="G204" t="s">
        <v>78</v>
      </c>
      <c r="H204" t="s">
        <v>83</v>
      </c>
      <c r="I204" t="s">
        <v>85</v>
      </c>
      <c r="J204">
        <v>3200</v>
      </c>
      <c r="K204" t="str">
        <f>_xlfn.XLOOKUP(Sales_Data[[#This Row],[Product_ID]],products!A:A,products!B:B,"Not Found")</f>
        <v>Mouse</v>
      </c>
      <c r="L204" t="str">
        <f>_xlfn.XLOOKUP(Sales_Data[[#This Row],[Product_ID]],products!A:A,products!C:C,"Not Found")</f>
        <v>Accessories</v>
      </c>
      <c r="M204" t="str">
        <f>_xlfn.XLOOKUP(C204,customers!A:A,customers!B:B,"Not Found")</f>
        <v>Sahil Khan</v>
      </c>
      <c r="N204" t="str">
        <f>_xlfn.XLOOKUP(C203,customers!A:A,customers!C:C,"Not Found")</f>
        <v>Delhi</v>
      </c>
      <c r="O204" t="str">
        <f>IF(Sales_Data[[#This Row],[Total_Sales]]&gt;=50000,"High","Low")</f>
        <v>Low</v>
      </c>
    </row>
    <row r="205" spans="1:15" x14ac:dyDescent="0.3">
      <c r="A205">
        <v>1204</v>
      </c>
      <c r="B205" s="4">
        <v>46094</v>
      </c>
      <c r="C205" t="s">
        <v>36</v>
      </c>
      <c r="D205" t="s">
        <v>49</v>
      </c>
      <c r="E205">
        <v>4</v>
      </c>
      <c r="F205">
        <v>2500</v>
      </c>
      <c r="G205" t="s">
        <v>89</v>
      </c>
      <c r="H205" t="s">
        <v>84</v>
      </c>
      <c r="I205" t="s">
        <v>77</v>
      </c>
      <c r="J205">
        <v>10000</v>
      </c>
      <c r="K205" t="str">
        <f>_xlfn.XLOOKUP(Sales_Data[[#This Row],[Product_ID]],products!A:A,products!B:B,"Not Found")</f>
        <v>Keyboard</v>
      </c>
      <c r="L205" t="str">
        <f>_xlfn.XLOOKUP(Sales_Data[[#This Row],[Product_ID]],products!A:A,products!C:C,"Not Found")</f>
        <v>Accessories</v>
      </c>
      <c r="M205" t="str">
        <f>_xlfn.XLOOKUP(C205,customers!A:A,customers!B:B,"Not Found")</f>
        <v>Akash Jain</v>
      </c>
      <c r="N205" t="str">
        <f>_xlfn.XLOOKUP(C204,customers!A:A,customers!C:C,"Not Found")</f>
        <v>Pune</v>
      </c>
      <c r="O205" t="str">
        <f>IF(Sales_Data[[#This Row],[Total_Sales]]&gt;=50000,"High","Low")</f>
        <v>Low</v>
      </c>
    </row>
    <row r="206" spans="1:15" x14ac:dyDescent="0.3">
      <c r="A206">
        <v>1205</v>
      </c>
      <c r="B206" s="4">
        <v>46191</v>
      </c>
      <c r="C206" t="s">
        <v>40</v>
      </c>
      <c r="D206" t="s">
        <v>66</v>
      </c>
      <c r="E206">
        <v>5</v>
      </c>
      <c r="F206">
        <v>30000</v>
      </c>
      <c r="G206" t="s">
        <v>78</v>
      </c>
      <c r="H206" t="s">
        <v>76</v>
      </c>
      <c r="I206" t="s">
        <v>85</v>
      </c>
      <c r="J206">
        <v>150000</v>
      </c>
      <c r="K206" t="str">
        <f>_xlfn.XLOOKUP(Sales_Data[[#This Row],[Product_ID]],products!A:A,products!B:B,"Not Found")</f>
        <v>Smartphone</v>
      </c>
      <c r="L206" t="str">
        <f>_xlfn.XLOOKUP(Sales_Data[[#This Row],[Product_ID]],products!A:A,products!C:C,"Not Found")</f>
        <v>Electronics</v>
      </c>
      <c r="M206" t="str">
        <f>_xlfn.XLOOKUP(C206,customers!A:A,customers!B:B,"Not Found")</f>
        <v>Nitin More</v>
      </c>
      <c r="N206" t="str">
        <f>_xlfn.XLOOKUP(C205,customers!A:A,customers!C:C,"Not Found")</f>
        <v>Nashik</v>
      </c>
      <c r="O206" t="str">
        <f>IF(Sales_Data[[#This Row],[Total_Sales]]&gt;=50000,"High","Low")</f>
        <v>High</v>
      </c>
    </row>
    <row r="207" spans="1:15" x14ac:dyDescent="0.3">
      <c r="A207">
        <v>1206</v>
      </c>
      <c r="B207" s="4">
        <v>46109</v>
      </c>
      <c r="C207" t="s">
        <v>40</v>
      </c>
      <c r="D207" t="s">
        <v>56</v>
      </c>
      <c r="E207">
        <v>6</v>
      </c>
      <c r="F207">
        <v>3500</v>
      </c>
      <c r="G207" t="s">
        <v>78</v>
      </c>
      <c r="H207" t="s">
        <v>76</v>
      </c>
      <c r="I207" t="s">
        <v>87</v>
      </c>
      <c r="J207">
        <v>21000</v>
      </c>
      <c r="K207" t="str">
        <f>_xlfn.XLOOKUP(Sales_Data[[#This Row],[Product_ID]],products!A:A,products!B:B,"Not Found")</f>
        <v>Headphones</v>
      </c>
      <c r="L207" t="str">
        <f>_xlfn.XLOOKUP(Sales_Data[[#This Row],[Product_ID]],products!A:A,products!C:C,"Not Found")</f>
        <v>Accessories</v>
      </c>
      <c r="M207" t="str">
        <f>_xlfn.XLOOKUP(C207,customers!A:A,customers!B:B,"Not Found")</f>
        <v>Nitin More</v>
      </c>
      <c r="N207" t="str">
        <f>_xlfn.XLOOKUP(C206,customers!A:A,customers!C:C,"Not Found")</f>
        <v>Nagpur</v>
      </c>
      <c r="O207" t="str">
        <f>IF(Sales_Data[[#This Row],[Total_Sales]]&gt;=50000,"High","Low")</f>
        <v>Low</v>
      </c>
    </row>
    <row r="208" spans="1:15" x14ac:dyDescent="0.3">
      <c r="A208">
        <v>1207</v>
      </c>
      <c r="B208" s="4">
        <v>46125</v>
      </c>
      <c r="C208" t="s">
        <v>32</v>
      </c>
      <c r="D208" t="s">
        <v>66</v>
      </c>
      <c r="E208">
        <v>2</v>
      </c>
      <c r="F208">
        <v>30000</v>
      </c>
      <c r="G208" t="s">
        <v>75</v>
      </c>
      <c r="H208" t="s">
        <v>79</v>
      </c>
      <c r="I208" t="s">
        <v>77</v>
      </c>
      <c r="J208">
        <v>60000</v>
      </c>
      <c r="K208" t="str">
        <f>_xlfn.XLOOKUP(Sales_Data[[#This Row],[Product_ID]],products!A:A,products!B:B,"Not Found")</f>
        <v>Smartphone</v>
      </c>
      <c r="L208" t="str">
        <f>_xlfn.XLOOKUP(Sales_Data[[#This Row],[Product_ID]],products!A:A,products!C:C,"Not Found")</f>
        <v>Electronics</v>
      </c>
      <c r="M208" t="str">
        <f>_xlfn.XLOOKUP(C208,customers!A:A,customers!B:B,"Not Found")</f>
        <v>Sahil Khan</v>
      </c>
      <c r="N208" t="str">
        <f>_xlfn.XLOOKUP(C207,customers!A:A,customers!C:C,"Not Found")</f>
        <v>Nagpur</v>
      </c>
      <c r="O208" t="str">
        <f>IF(Sales_Data[[#This Row],[Total_Sales]]&gt;=50000,"High","Low")</f>
        <v>High</v>
      </c>
    </row>
    <row r="209" spans="1:15" x14ac:dyDescent="0.3">
      <c r="A209">
        <v>1208</v>
      </c>
      <c r="B209" s="4">
        <v>46119</v>
      </c>
      <c r="C209" t="s">
        <v>12</v>
      </c>
      <c r="D209" t="s">
        <v>64</v>
      </c>
      <c r="E209">
        <v>7</v>
      </c>
      <c r="F209">
        <v>900</v>
      </c>
      <c r="G209" t="s">
        <v>89</v>
      </c>
      <c r="H209" t="s">
        <v>83</v>
      </c>
      <c r="I209" t="s">
        <v>87</v>
      </c>
      <c r="J209">
        <v>6300</v>
      </c>
      <c r="K209" t="str">
        <f>_xlfn.XLOOKUP(Sales_Data[[#This Row],[Product_ID]],products!A:A,products!B:B,"Not Found")</f>
        <v>USB Drive</v>
      </c>
      <c r="L209" t="str">
        <f>_xlfn.XLOOKUP(Sales_Data[[#This Row],[Product_ID]],products!A:A,products!C:C,"Not Found")</f>
        <v>Accessories</v>
      </c>
      <c r="M209" t="str">
        <f>_xlfn.XLOOKUP(C209,customers!A:A,customers!B:B,"Not Found")</f>
        <v>Sneha Joshi</v>
      </c>
      <c r="N209" t="str">
        <f>_xlfn.XLOOKUP(C208,customers!A:A,customers!C:C,"Not Found")</f>
        <v>Pune</v>
      </c>
      <c r="O209" t="str">
        <f>IF(Sales_Data[[#This Row],[Total_Sales]]&gt;=50000,"High","Low")</f>
        <v>Low</v>
      </c>
    </row>
    <row r="210" spans="1:15" x14ac:dyDescent="0.3">
      <c r="A210">
        <v>1209</v>
      </c>
      <c r="B210" s="4">
        <v>46106</v>
      </c>
      <c r="C210" t="s">
        <v>15</v>
      </c>
      <c r="D210" t="s">
        <v>58</v>
      </c>
      <c r="E210">
        <v>2</v>
      </c>
      <c r="F210">
        <v>12000</v>
      </c>
      <c r="G210" t="s">
        <v>78</v>
      </c>
      <c r="H210" t="s">
        <v>76</v>
      </c>
      <c r="I210" t="s">
        <v>87</v>
      </c>
      <c r="J210">
        <v>24000</v>
      </c>
      <c r="K210" t="str">
        <f>_xlfn.XLOOKUP(Sales_Data[[#This Row],[Product_ID]],products!A:A,products!B:B,"Not Found")</f>
        <v>Printer</v>
      </c>
      <c r="L210" t="str">
        <f>_xlfn.XLOOKUP(Sales_Data[[#This Row],[Product_ID]],products!A:A,products!C:C,"Not Found")</f>
        <v>Electronics</v>
      </c>
      <c r="M210" t="str">
        <f>_xlfn.XLOOKUP(C210,customers!A:A,customers!B:B,"Not Found")</f>
        <v>Rohit Singh</v>
      </c>
      <c r="N210" t="str">
        <f>_xlfn.XLOOKUP(C209,customers!A:A,customers!C:C,"Not Found")</f>
        <v>Nashik</v>
      </c>
      <c r="O210" t="str">
        <f>IF(Sales_Data[[#This Row],[Total_Sales]]&gt;=50000,"High","Low")</f>
        <v>Low</v>
      </c>
    </row>
    <row r="211" spans="1:15" x14ac:dyDescent="0.3">
      <c r="A211">
        <v>1210</v>
      </c>
      <c r="B211" s="4">
        <v>46195</v>
      </c>
      <c r="C211" t="s">
        <v>3</v>
      </c>
      <c r="D211" t="s">
        <v>66</v>
      </c>
      <c r="E211">
        <v>2</v>
      </c>
      <c r="F211">
        <v>30000</v>
      </c>
      <c r="G211" t="s">
        <v>82</v>
      </c>
      <c r="H211" t="s">
        <v>88</v>
      </c>
      <c r="I211" t="s">
        <v>81</v>
      </c>
      <c r="J211">
        <v>60000</v>
      </c>
      <c r="K211" t="str">
        <f>_xlfn.XLOOKUP(Sales_Data[[#This Row],[Product_ID]],products!A:A,products!B:B,"Not Found")</f>
        <v>Smartphone</v>
      </c>
      <c r="L211" t="str">
        <f>_xlfn.XLOOKUP(Sales_Data[[#This Row],[Product_ID]],products!A:A,products!C:C,"Not Found")</f>
        <v>Electronics</v>
      </c>
      <c r="M211" t="str">
        <f>_xlfn.XLOOKUP(C211,customers!A:A,customers!B:B,"Not Found")</f>
        <v>Rahul Sharma</v>
      </c>
      <c r="N211" t="str">
        <f>_xlfn.XLOOKUP(C210,customers!A:A,customers!C:C,"Not Found")</f>
        <v>Delhi</v>
      </c>
      <c r="O211" t="str">
        <f>IF(Sales_Data[[#This Row],[Total_Sales]]&gt;=50000,"High","Low")</f>
        <v>High</v>
      </c>
    </row>
    <row r="212" spans="1:15" x14ac:dyDescent="0.3">
      <c r="A212">
        <v>1211</v>
      </c>
      <c r="B212" s="4">
        <v>46136</v>
      </c>
      <c r="C212" t="s">
        <v>30</v>
      </c>
      <c r="D212" t="s">
        <v>62</v>
      </c>
      <c r="E212">
        <v>7</v>
      </c>
      <c r="F212">
        <v>3000</v>
      </c>
      <c r="G212" t="s">
        <v>82</v>
      </c>
      <c r="H212" t="s">
        <v>76</v>
      </c>
      <c r="I212" t="s">
        <v>77</v>
      </c>
      <c r="J212">
        <v>21000</v>
      </c>
      <c r="K212" t="str">
        <f>_xlfn.XLOOKUP(Sales_Data[[#This Row],[Product_ID]],products!A:A,products!B:B,"Not Found")</f>
        <v>Webcam</v>
      </c>
      <c r="L212" t="str">
        <f>_xlfn.XLOOKUP(Sales_Data[[#This Row],[Product_ID]],products!A:A,products!C:C,"Not Found")</f>
        <v>Accessories</v>
      </c>
      <c r="M212" t="str">
        <f>_xlfn.XLOOKUP(C212,customers!A:A,customers!B:B,"Not Found")</f>
        <v>Anjali Kulkarni</v>
      </c>
      <c r="N212" t="str">
        <f>_xlfn.XLOOKUP(C211,customers!A:A,customers!C:C,"Not Found")</f>
        <v>Nagpur</v>
      </c>
      <c r="O212" t="str">
        <f>IF(Sales_Data[[#This Row],[Total_Sales]]&gt;=50000,"High","Low")</f>
        <v>Low</v>
      </c>
    </row>
    <row r="213" spans="1:15" x14ac:dyDescent="0.3">
      <c r="A213">
        <v>1212</v>
      </c>
      <c r="B213" s="4">
        <v>46051</v>
      </c>
      <c r="C213" t="s">
        <v>21</v>
      </c>
      <c r="D213" t="s">
        <v>58</v>
      </c>
      <c r="E213">
        <v>5</v>
      </c>
      <c r="F213">
        <v>12000</v>
      </c>
      <c r="G213" t="s">
        <v>86</v>
      </c>
      <c r="H213" t="s">
        <v>84</v>
      </c>
      <c r="I213" t="s">
        <v>81</v>
      </c>
      <c r="J213">
        <v>60000</v>
      </c>
      <c r="K213" t="str">
        <f>_xlfn.XLOOKUP(Sales_Data[[#This Row],[Product_ID]],products!A:A,products!B:B,"Not Found")</f>
        <v>Printer</v>
      </c>
      <c r="L213" t="str">
        <f>_xlfn.XLOOKUP(Sales_Data[[#This Row],[Product_ID]],products!A:A,products!C:C,"Not Found")</f>
        <v>Electronics</v>
      </c>
      <c r="M213" t="str">
        <f>_xlfn.XLOOKUP(C213,customers!A:A,customers!B:B,"Not Found")</f>
        <v>Karan Mehta</v>
      </c>
      <c r="N213" t="str">
        <f>_xlfn.XLOOKUP(C212,customers!A:A,customers!C:C,"Not Found")</f>
        <v>Nagpur</v>
      </c>
      <c r="O213" t="str">
        <f>IF(Sales_Data[[#This Row],[Total_Sales]]&gt;=50000,"High","Low")</f>
        <v>High</v>
      </c>
    </row>
    <row r="214" spans="1:15" x14ac:dyDescent="0.3">
      <c r="A214">
        <v>1213</v>
      </c>
      <c r="B214" s="4">
        <v>46101</v>
      </c>
      <c r="C214" t="s">
        <v>32</v>
      </c>
      <c r="D214" t="s">
        <v>64</v>
      </c>
      <c r="E214">
        <v>1</v>
      </c>
      <c r="F214">
        <v>900</v>
      </c>
      <c r="G214" t="s">
        <v>75</v>
      </c>
      <c r="H214" t="s">
        <v>88</v>
      </c>
      <c r="I214" t="s">
        <v>77</v>
      </c>
      <c r="J214">
        <v>900</v>
      </c>
      <c r="K214" t="str">
        <f>_xlfn.XLOOKUP(Sales_Data[[#This Row],[Product_ID]],products!A:A,products!B:B,"Not Found")</f>
        <v>USB Drive</v>
      </c>
      <c r="L214" t="str">
        <f>_xlfn.XLOOKUP(Sales_Data[[#This Row],[Product_ID]],products!A:A,products!C:C,"Not Found")</f>
        <v>Accessories</v>
      </c>
      <c r="M214" t="str">
        <f>_xlfn.XLOOKUP(C214,customers!A:A,customers!B:B,"Not Found")</f>
        <v>Sahil Khan</v>
      </c>
      <c r="N214" t="str">
        <f>_xlfn.XLOOKUP(C213,customers!A:A,customers!C:C,"Not Found")</f>
        <v>Bhopal</v>
      </c>
      <c r="O214" t="str">
        <f>IF(Sales_Data[[#This Row],[Total_Sales]]&gt;=50000,"High","Low")</f>
        <v>Low</v>
      </c>
    </row>
    <row r="215" spans="1:15" x14ac:dyDescent="0.3">
      <c r="A215">
        <v>1214</v>
      </c>
      <c r="B215" s="4">
        <v>46100</v>
      </c>
      <c r="C215" t="s">
        <v>12</v>
      </c>
      <c r="D215" t="s">
        <v>46</v>
      </c>
      <c r="E215">
        <v>4</v>
      </c>
      <c r="F215">
        <v>55000</v>
      </c>
      <c r="G215" t="s">
        <v>75</v>
      </c>
      <c r="H215" t="s">
        <v>83</v>
      </c>
      <c r="I215" t="s">
        <v>85</v>
      </c>
      <c r="J215">
        <v>220000</v>
      </c>
      <c r="K215" t="str">
        <f>_xlfn.XLOOKUP(Sales_Data[[#This Row],[Product_ID]],products!A:A,products!B:B,"Not Found")</f>
        <v>Laptop</v>
      </c>
      <c r="L215" t="str">
        <f>_xlfn.XLOOKUP(Sales_Data[[#This Row],[Product_ID]],products!A:A,products!C:C,"Not Found")</f>
        <v>Electronics</v>
      </c>
      <c r="M215" t="str">
        <f>_xlfn.XLOOKUP(C215,customers!A:A,customers!B:B,"Not Found")</f>
        <v>Sneha Joshi</v>
      </c>
      <c r="N215" t="str">
        <f>_xlfn.XLOOKUP(C214,customers!A:A,customers!C:C,"Not Found")</f>
        <v>Pune</v>
      </c>
      <c r="O215" t="str">
        <f>IF(Sales_Data[[#This Row],[Total_Sales]]&gt;=50000,"High","Low")</f>
        <v>High</v>
      </c>
    </row>
    <row r="216" spans="1:15" x14ac:dyDescent="0.3">
      <c r="A216">
        <v>1215</v>
      </c>
      <c r="B216" s="4">
        <v>46024</v>
      </c>
      <c r="C216" t="s">
        <v>6</v>
      </c>
      <c r="D216" t="s">
        <v>58</v>
      </c>
      <c r="E216">
        <v>8</v>
      </c>
      <c r="F216">
        <v>12000</v>
      </c>
      <c r="G216" t="s">
        <v>86</v>
      </c>
      <c r="H216" t="s">
        <v>88</v>
      </c>
      <c r="I216" t="s">
        <v>87</v>
      </c>
      <c r="J216">
        <v>96000</v>
      </c>
      <c r="K216" t="str">
        <f>_xlfn.XLOOKUP(Sales_Data[[#This Row],[Product_ID]],products!A:A,products!B:B,"Not Found")</f>
        <v>Printer</v>
      </c>
      <c r="L216" t="str">
        <f>_xlfn.XLOOKUP(Sales_Data[[#This Row],[Product_ID]],products!A:A,products!C:C,"Not Found")</f>
        <v>Electronics</v>
      </c>
      <c r="M216" t="str">
        <f>_xlfn.XLOOKUP(C216,customers!A:A,customers!B:B,"Not Found")</f>
        <v>Priya Patil</v>
      </c>
      <c r="N216" t="str">
        <f>_xlfn.XLOOKUP(C215,customers!A:A,customers!C:C,"Not Found")</f>
        <v>Nashik</v>
      </c>
      <c r="O216" t="str">
        <f>IF(Sales_Data[[#This Row],[Total_Sales]]&gt;=50000,"High","Low")</f>
        <v>High</v>
      </c>
    </row>
    <row r="217" spans="1:15" x14ac:dyDescent="0.3">
      <c r="A217">
        <v>1216</v>
      </c>
      <c r="B217" s="4">
        <v>46159</v>
      </c>
      <c r="C217" t="s">
        <v>21</v>
      </c>
      <c r="D217" t="s">
        <v>52</v>
      </c>
      <c r="E217">
        <v>4</v>
      </c>
      <c r="F217">
        <v>800</v>
      </c>
      <c r="G217" t="s">
        <v>80</v>
      </c>
      <c r="H217" t="s">
        <v>84</v>
      </c>
      <c r="I217" t="s">
        <v>85</v>
      </c>
      <c r="J217">
        <v>3200</v>
      </c>
      <c r="K217" t="str">
        <f>_xlfn.XLOOKUP(Sales_Data[[#This Row],[Product_ID]],products!A:A,products!B:B,"Not Found")</f>
        <v>Mouse</v>
      </c>
      <c r="L217" t="str">
        <f>_xlfn.XLOOKUP(Sales_Data[[#This Row],[Product_ID]],products!A:A,products!C:C,"Not Found")</f>
        <v>Accessories</v>
      </c>
      <c r="M217" t="str">
        <f>_xlfn.XLOOKUP(C217,customers!A:A,customers!B:B,"Not Found")</f>
        <v>Karan Mehta</v>
      </c>
      <c r="N217" t="str">
        <f>_xlfn.XLOOKUP(C216,customers!A:A,customers!C:C,"Not Found")</f>
        <v>Pune</v>
      </c>
      <c r="O217" t="str">
        <f>IF(Sales_Data[[#This Row],[Total_Sales]]&gt;=50000,"High","Low")</f>
        <v>Low</v>
      </c>
    </row>
    <row r="218" spans="1:15" x14ac:dyDescent="0.3">
      <c r="A218">
        <v>1217</v>
      </c>
      <c r="B218" s="4">
        <v>46033</v>
      </c>
      <c r="C218" t="s">
        <v>21</v>
      </c>
      <c r="D218" t="s">
        <v>49</v>
      </c>
      <c r="E218">
        <v>7</v>
      </c>
      <c r="F218">
        <v>2500</v>
      </c>
      <c r="G218" t="s">
        <v>78</v>
      </c>
      <c r="H218" t="s">
        <v>88</v>
      </c>
      <c r="I218" t="s">
        <v>77</v>
      </c>
      <c r="J218">
        <v>17500</v>
      </c>
      <c r="K218" t="str">
        <f>_xlfn.XLOOKUP(Sales_Data[[#This Row],[Product_ID]],products!A:A,products!B:B,"Not Found")</f>
        <v>Keyboard</v>
      </c>
      <c r="L218" t="str">
        <f>_xlfn.XLOOKUP(Sales_Data[[#This Row],[Product_ID]],products!A:A,products!C:C,"Not Found")</f>
        <v>Accessories</v>
      </c>
      <c r="M218" t="str">
        <f>_xlfn.XLOOKUP(C218,customers!A:A,customers!B:B,"Not Found")</f>
        <v>Karan Mehta</v>
      </c>
      <c r="N218" t="str">
        <f>_xlfn.XLOOKUP(C217,customers!A:A,customers!C:C,"Not Found")</f>
        <v>Bhopal</v>
      </c>
      <c r="O218" t="str">
        <f>IF(Sales_Data[[#This Row],[Total_Sales]]&gt;=50000,"High","Low")</f>
        <v>Low</v>
      </c>
    </row>
    <row r="219" spans="1:15" x14ac:dyDescent="0.3">
      <c r="A219">
        <v>1218</v>
      </c>
      <c r="B219" s="4">
        <v>46132</v>
      </c>
      <c r="C219" t="s">
        <v>30</v>
      </c>
      <c r="D219" t="s">
        <v>58</v>
      </c>
      <c r="E219">
        <v>7</v>
      </c>
      <c r="F219">
        <v>12000</v>
      </c>
      <c r="G219" t="s">
        <v>86</v>
      </c>
      <c r="H219" t="s">
        <v>88</v>
      </c>
      <c r="I219" t="s">
        <v>85</v>
      </c>
      <c r="J219">
        <v>84000</v>
      </c>
      <c r="K219" t="str">
        <f>_xlfn.XLOOKUP(Sales_Data[[#This Row],[Product_ID]],products!A:A,products!B:B,"Not Found")</f>
        <v>Printer</v>
      </c>
      <c r="L219" t="str">
        <f>_xlfn.XLOOKUP(Sales_Data[[#This Row],[Product_ID]],products!A:A,products!C:C,"Not Found")</f>
        <v>Electronics</v>
      </c>
      <c r="M219" t="str">
        <f>_xlfn.XLOOKUP(C219,customers!A:A,customers!B:B,"Not Found")</f>
        <v>Anjali Kulkarni</v>
      </c>
      <c r="N219" t="str">
        <f>_xlfn.XLOOKUP(C218,customers!A:A,customers!C:C,"Not Found")</f>
        <v>Bhopal</v>
      </c>
      <c r="O219" t="str">
        <f>IF(Sales_Data[[#This Row],[Total_Sales]]&gt;=50000,"High","Low")</f>
        <v>High</v>
      </c>
    </row>
    <row r="220" spans="1:15" x14ac:dyDescent="0.3">
      <c r="A220">
        <v>1219</v>
      </c>
      <c r="B220" s="4">
        <v>46028</v>
      </c>
      <c r="C220" t="s">
        <v>21</v>
      </c>
      <c r="D220" t="s">
        <v>49</v>
      </c>
      <c r="E220">
        <v>6</v>
      </c>
      <c r="F220">
        <v>2500</v>
      </c>
      <c r="G220" t="s">
        <v>75</v>
      </c>
      <c r="H220" t="s">
        <v>84</v>
      </c>
      <c r="I220" t="s">
        <v>81</v>
      </c>
      <c r="J220">
        <v>15000</v>
      </c>
      <c r="K220" t="str">
        <f>_xlfn.XLOOKUP(Sales_Data[[#This Row],[Product_ID]],products!A:A,products!B:B,"Not Found")</f>
        <v>Keyboard</v>
      </c>
      <c r="L220" t="str">
        <f>_xlfn.XLOOKUP(Sales_Data[[#This Row],[Product_ID]],products!A:A,products!C:C,"Not Found")</f>
        <v>Accessories</v>
      </c>
      <c r="M220" t="str">
        <f>_xlfn.XLOOKUP(C220,customers!A:A,customers!B:B,"Not Found")</f>
        <v>Karan Mehta</v>
      </c>
      <c r="N220" t="str">
        <f>_xlfn.XLOOKUP(C219,customers!A:A,customers!C:C,"Not Found")</f>
        <v>Nagpur</v>
      </c>
      <c r="O220" t="str">
        <f>IF(Sales_Data[[#This Row],[Total_Sales]]&gt;=50000,"High","Low")</f>
        <v>Low</v>
      </c>
    </row>
    <row r="221" spans="1:15" x14ac:dyDescent="0.3">
      <c r="A221">
        <v>1220</v>
      </c>
      <c r="B221" s="4">
        <v>46134</v>
      </c>
      <c r="C221" t="s">
        <v>6</v>
      </c>
      <c r="D221" t="s">
        <v>58</v>
      </c>
      <c r="E221">
        <v>2</v>
      </c>
      <c r="F221">
        <v>12000</v>
      </c>
      <c r="G221" t="s">
        <v>75</v>
      </c>
      <c r="H221" t="s">
        <v>88</v>
      </c>
      <c r="I221" t="s">
        <v>81</v>
      </c>
      <c r="J221">
        <v>24000</v>
      </c>
      <c r="K221" t="str">
        <f>_xlfn.XLOOKUP(Sales_Data[[#This Row],[Product_ID]],products!A:A,products!B:B,"Not Found")</f>
        <v>Printer</v>
      </c>
      <c r="L221" t="str">
        <f>_xlfn.XLOOKUP(Sales_Data[[#This Row],[Product_ID]],products!A:A,products!C:C,"Not Found")</f>
        <v>Electronics</v>
      </c>
      <c r="M221" t="str">
        <f>_xlfn.XLOOKUP(C221,customers!A:A,customers!B:B,"Not Found")</f>
        <v>Priya Patil</v>
      </c>
      <c r="N221" t="str">
        <f>_xlfn.XLOOKUP(C220,customers!A:A,customers!C:C,"Not Found")</f>
        <v>Bhopal</v>
      </c>
      <c r="O221" t="str">
        <f>IF(Sales_Data[[#This Row],[Total_Sales]]&gt;=50000,"High","Low")</f>
        <v>Low</v>
      </c>
    </row>
    <row r="222" spans="1:15" x14ac:dyDescent="0.3">
      <c r="A222">
        <v>1221</v>
      </c>
      <c r="B222" s="4">
        <v>46124</v>
      </c>
      <c r="C222" t="s">
        <v>6</v>
      </c>
      <c r="D222" t="s">
        <v>64</v>
      </c>
      <c r="E222">
        <v>5</v>
      </c>
      <c r="F222">
        <v>900</v>
      </c>
      <c r="G222" t="s">
        <v>86</v>
      </c>
      <c r="H222" t="s">
        <v>83</v>
      </c>
      <c r="I222" t="s">
        <v>87</v>
      </c>
      <c r="J222">
        <v>4500</v>
      </c>
      <c r="K222" t="str">
        <f>_xlfn.XLOOKUP(Sales_Data[[#This Row],[Product_ID]],products!A:A,products!B:B,"Not Found")</f>
        <v>USB Drive</v>
      </c>
      <c r="L222" t="str">
        <f>_xlfn.XLOOKUP(Sales_Data[[#This Row],[Product_ID]],products!A:A,products!C:C,"Not Found")</f>
        <v>Accessories</v>
      </c>
      <c r="M222" t="str">
        <f>_xlfn.XLOOKUP(C222,customers!A:A,customers!B:B,"Not Found")</f>
        <v>Priya Patil</v>
      </c>
      <c r="N222" t="str">
        <f>_xlfn.XLOOKUP(C221,customers!A:A,customers!C:C,"Not Found")</f>
        <v>Pune</v>
      </c>
      <c r="O222" t="str">
        <f>IF(Sales_Data[[#This Row],[Total_Sales]]&gt;=50000,"High","Low")</f>
        <v>Low</v>
      </c>
    </row>
    <row r="223" spans="1:15" x14ac:dyDescent="0.3">
      <c r="A223">
        <v>1222</v>
      </c>
      <c r="B223" s="4">
        <v>46066</v>
      </c>
      <c r="C223" t="s">
        <v>36</v>
      </c>
      <c r="D223" t="s">
        <v>58</v>
      </c>
      <c r="E223">
        <v>2</v>
      </c>
      <c r="F223">
        <v>12000</v>
      </c>
      <c r="G223" t="s">
        <v>80</v>
      </c>
      <c r="H223" t="s">
        <v>79</v>
      </c>
      <c r="I223" t="s">
        <v>87</v>
      </c>
      <c r="J223">
        <v>24000</v>
      </c>
      <c r="K223" t="str">
        <f>_xlfn.XLOOKUP(Sales_Data[[#This Row],[Product_ID]],products!A:A,products!B:B,"Not Found")</f>
        <v>Printer</v>
      </c>
      <c r="L223" t="str">
        <f>_xlfn.XLOOKUP(Sales_Data[[#This Row],[Product_ID]],products!A:A,products!C:C,"Not Found")</f>
        <v>Electronics</v>
      </c>
      <c r="M223" t="str">
        <f>_xlfn.XLOOKUP(C223,customers!A:A,customers!B:B,"Not Found")</f>
        <v>Akash Jain</v>
      </c>
      <c r="N223" t="str">
        <f>_xlfn.XLOOKUP(C222,customers!A:A,customers!C:C,"Not Found")</f>
        <v>Pune</v>
      </c>
      <c r="O223" t="str">
        <f>IF(Sales_Data[[#This Row],[Total_Sales]]&gt;=50000,"High","Low")</f>
        <v>Low</v>
      </c>
    </row>
    <row r="224" spans="1:15" x14ac:dyDescent="0.3">
      <c r="A224">
        <v>1223</v>
      </c>
      <c r="B224" s="4">
        <v>46188</v>
      </c>
      <c r="C224" t="s">
        <v>18</v>
      </c>
      <c r="D224" t="s">
        <v>58</v>
      </c>
      <c r="E224">
        <v>3</v>
      </c>
      <c r="F224">
        <v>12000</v>
      </c>
      <c r="G224" t="s">
        <v>75</v>
      </c>
      <c r="H224" t="s">
        <v>79</v>
      </c>
      <c r="I224" t="s">
        <v>87</v>
      </c>
      <c r="J224">
        <v>36000</v>
      </c>
      <c r="K224" t="str">
        <f>_xlfn.XLOOKUP(Sales_Data[[#This Row],[Product_ID]],products!A:A,products!B:B,"Not Found")</f>
        <v>Printer</v>
      </c>
      <c r="L224" t="str">
        <f>_xlfn.XLOOKUP(Sales_Data[[#This Row],[Product_ID]],products!A:A,products!C:C,"Not Found")</f>
        <v>Electronics</v>
      </c>
      <c r="M224" t="str">
        <f>_xlfn.XLOOKUP(C224,customers!A:A,customers!B:B,"Not Found")</f>
        <v>Neha Gupta</v>
      </c>
      <c r="N224" t="str">
        <f>_xlfn.XLOOKUP(C223,customers!A:A,customers!C:C,"Not Found")</f>
        <v>Nashik</v>
      </c>
      <c r="O224" t="str">
        <f>IF(Sales_Data[[#This Row],[Total_Sales]]&gt;=50000,"High","Low")</f>
        <v>Low</v>
      </c>
    </row>
    <row r="225" spans="1:15" x14ac:dyDescent="0.3">
      <c r="A225">
        <v>1224</v>
      </c>
      <c r="B225" s="4">
        <v>46067</v>
      </c>
      <c r="C225" t="s">
        <v>12</v>
      </c>
      <c r="D225" t="s">
        <v>56</v>
      </c>
      <c r="E225">
        <v>3</v>
      </c>
      <c r="F225">
        <v>3500</v>
      </c>
      <c r="G225" t="s">
        <v>86</v>
      </c>
      <c r="H225" t="s">
        <v>79</v>
      </c>
      <c r="I225" t="s">
        <v>87</v>
      </c>
      <c r="J225">
        <v>10500</v>
      </c>
      <c r="K225" t="str">
        <f>_xlfn.XLOOKUP(Sales_Data[[#This Row],[Product_ID]],products!A:A,products!B:B,"Not Found")</f>
        <v>Headphones</v>
      </c>
      <c r="L225" t="str">
        <f>_xlfn.XLOOKUP(Sales_Data[[#This Row],[Product_ID]],products!A:A,products!C:C,"Not Found")</f>
        <v>Accessories</v>
      </c>
      <c r="M225" t="str">
        <f>_xlfn.XLOOKUP(C225,customers!A:A,customers!B:B,"Not Found")</f>
        <v>Sneha Joshi</v>
      </c>
      <c r="N225" t="str">
        <f>_xlfn.XLOOKUP(C224,customers!A:A,customers!C:C,"Not Found")</f>
        <v>Indore</v>
      </c>
      <c r="O225" t="str">
        <f>IF(Sales_Data[[#This Row],[Total_Sales]]&gt;=50000,"High","Low")</f>
        <v>Low</v>
      </c>
    </row>
    <row r="226" spans="1:15" x14ac:dyDescent="0.3">
      <c r="A226">
        <v>1225</v>
      </c>
      <c r="B226" s="4">
        <v>46167</v>
      </c>
      <c r="C226" t="s">
        <v>24</v>
      </c>
      <c r="D226" t="s">
        <v>62</v>
      </c>
      <c r="E226">
        <v>8</v>
      </c>
      <c r="F226">
        <v>3000</v>
      </c>
      <c r="G226" t="s">
        <v>86</v>
      </c>
      <c r="H226" t="s">
        <v>84</v>
      </c>
      <c r="I226" t="s">
        <v>85</v>
      </c>
      <c r="J226">
        <v>24000</v>
      </c>
      <c r="K226" t="str">
        <f>_xlfn.XLOOKUP(Sales_Data[[#This Row],[Product_ID]],products!A:A,products!B:B,"Not Found")</f>
        <v>Webcam</v>
      </c>
      <c r="L226" t="str">
        <f>_xlfn.XLOOKUP(Sales_Data[[#This Row],[Product_ID]],products!A:A,products!C:C,"Not Found")</f>
        <v>Accessories</v>
      </c>
      <c r="M226" t="str">
        <f>_xlfn.XLOOKUP(C226,customers!A:A,customers!B:B,"Not Found")</f>
        <v>Pooja Deshmukh</v>
      </c>
      <c r="N226" t="str">
        <f>_xlfn.XLOOKUP(C225,customers!A:A,customers!C:C,"Not Found")</f>
        <v>Nashik</v>
      </c>
      <c r="O226" t="str">
        <f>IF(Sales_Data[[#This Row],[Total_Sales]]&gt;=50000,"High","Low")</f>
        <v>Low</v>
      </c>
    </row>
    <row r="227" spans="1:15" x14ac:dyDescent="0.3">
      <c r="A227">
        <v>1226</v>
      </c>
      <c r="B227" s="4">
        <v>46135</v>
      </c>
      <c r="C227" t="s">
        <v>9</v>
      </c>
      <c r="D227" t="s">
        <v>58</v>
      </c>
      <c r="E227">
        <v>2</v>
      </c>
      <c r="F227">
        <v>12000</v>
      </c>
      <c r="G227" t="s">
        <v>89</v>
      </c>
      <c r="H227" t="s">
        <v>88</v>
      </c>
      <c r="I227" t="s">
        <v>85</v>
      </c>
      <c r="J227">
        <v>24000</v>
      </c>
      <c r="K227" t="str">
        <f>_xlfn.XLOOKUP(Sales_Data[[#This Row],[Product_ID]],products!A:A,products!B:B,"Not Found")</f>
        <v>Printer</v>
      </c>
      <c r="L227" t="str">
        <f>_xlfn.XLOOKUP(Sales_Data[[#This Row],[Product_ID]],products!A:A,products!C:C,"Not Found")</f>
        <v>Electronics</v>
      </c>
      <c r="M227" t="str">
        <f>_xlfn.XLOOKUP(C227,customers!A:A,customers!B:B,"Not Found")</f>
        <v>Amit Verma</v>
      </c>
      <c r="N227" t="str">
        <f>_xlfn.XLOOKUP(C226,customers!A:A,customers!C:C,"Not Found")</f>
        <v>Aurangabad</v>
      </c>
      <c r="O227" t="str">
        <f>IF(Sales_Data[[#This Row],[Total_Sales]]&gt;=50000,"High","Low")</f>
        <v>Low</v>
      </c>
    </row>
    <row r="228" spans="1:15" x14ac:dyDescent="0.3">
      <c r="A228">
        <v>1227</v>
      </c>
      <c r="B228" s="4">
        <v>46037</v>
      </c>
      <c r="C228" t="s">
        <v>30</v>
      </c>
      <c r="D228" t="s">
        <v>56</v>
      </c>
      <c r="E228">
        <v>6</v>
      </c>
      <c r="F228">
        <v>3500</v>
      </c>
      <c r="G228" t="s">
        <v>80</v>
      </c>
      <c r="H228" t="s">
        <v>79</v>
      </c>
      <c r="I228" t="s">
        <v>85</v>
      </c>
      <c r="J228">
        <v>21000</v>
      </c>
      <c r="K228" t="str">
        <f>_xlfn.XLOOKUP(Sales_Data[[#This Row],[Product_ID]],products!A:A,products!B:B,"Not Found")</f>
        <v>Headphones</v>
      </c>
      <c r="L228" t="str">
        <f>_xlfn.XLOOKUP(Sales_Data[[#This Row],[Product_ID]],products!A:A,products!C:C,"Not Found")</f>
        <v>Accessories</v>
      </c>
      <c r="M228" t="str">
        <f>_xlfn.XLOOKUP(C228,customers!A:A,customers!B:B,"Not Found")</f>
        <v>Anjali Kulkarni</v>
      </c>
      <c r="N228" t="str">
        <f>_xlfn.XLOOKUP(C227,customers!A:A,customers!C:C,"Not Found")</f>
        <v>Mumbai</v>
      </c>
      <c r="O228" t="str">
        <f>IF(Sales_Data[[#This Row],[Total_Sales]]&gt;=50000,"High","Low")</f>
        <v>Low</v>
      </c>
    </row>
    <row r="229" spans="1:15" x14ac:dyDescent="0.3">
      <c r="A229">
        <v>1228</v>
      </c>
      <c r="B229" s="4">
        <v>46032</v>
      </c>
      <c r="C229" t="s">
        <v>24</v>
      </c>
      <c r="D229" t="s">
        <v>62</v>
      </c>
      <c r="E229">
        <v>1</v>
      </c>
      <c r="F229">
        <v>3000</v>
      </c>
      <c r="G229" t="s">
        <v>82</v>
      </c>
      <c r="H229" t="s">
        <v>83</v>
      </c>
      <c r="I229" t="s">
        <v>77</v>
      </c>
      <c r="J229">
        <v>3000</v>
      </c>
      <c r="K229" t="str">
        <f>_xlfn.XLOOKUP(Sales_Data[[#This Row],[Product_ID]],products!A:A,products!B:B,"Not Found")</f>
        <v>Webcam</v>
      </c>
      <c r="L229" t="str">
        <f>_xlfn.XLOOKUP(Sales_Data[[#This Row],[Product_ID]],products!A:A,products!C:C,"Not Found")</f>
        <v>Accessories</v>
      </c>
      <c r="M229" t="str">
        <f>_xlfn.XLOOKUP(C229,customers!A:A,customers!B:B,"Not Found")</f>
        <v>Pooja Deshmukh</v>
      </c>
      <c r="N229" t="str">
        <f>_xlfn.XLOOKUP(C228,customers!A:A,customers!C:C,"Not Found")</f>
        <v>Nagpur</v>
      </c>
      <c r="O229" t="str">
        <f>IF(Sales_Data[[#This Row],[Total_Sales]]&gt;=50000,"High","Low")</f>
        <v>Low</v>
      </c>
    </row>
    <row r="230" spans="1:15" x14ac:dyDescent="0.3">
      <c r="A230">
        <v>1229</v>
      </c>
      <c r="B230" s="4">
        <v>46175</v>
      </c>
      <c r="C230" t="s">
        <v>30</v>
      </c>
      <c r="D230" t="s">
        <v>49</v>
      </c>
      <c r="E230">
        <v>7</v>
      </c>
      <c r="F230">
        <v>2500</v>
      </c>
      <c r="G230" t="s">
        <v>89</v>
      </c>
      <c r="H230" t="s">
        <v>84</v>
      </c>
      <c r="I230" t="s">
        <v>77</v>
      </c>
      <c r="J230">
        <v>17500</v>
      </c>
      <c r="K230" t="str">
        <f>_xlfn.XLOOKUP(Sales_Data[[#This Row],[Product_ID]],products!A:A,products!B:B,"Not Found")</f>
        <v>Keyboard</v>
      </c>
      <c r="L230" t="str">
        <f>_xlfn.XLOOKUP(Sales_Data[[#This Row],[Product_ID]],products!A:A,products!C:C,"Not Found")</f>
        <v>Accessories</v>
      </c>
      <c r="M230" t="str">
        <f>_xlfn.XLOOKUP(C230,customers!A:A,customers!B:B,"Not Found")</f>
        <v>Anjali Kulkarni</v>
      </c>
      <c r="N230" t="str">
        <f>_xlfn.XLOOKUP(C229,customers!A:A,customers!C:C,"Not Found")</f>
        <v>Aurangabad</v>
      </c>
      <c r="O230" t="str">
        <f>IF(Sales_Data[[#This Row],[Total_Sales]]&gt;=50000,"High","Low")</f>
        <v>Low</v>
      </c>
    </row>
    <row r="231" spans="1:15" x14ac:dyDescent="0.3">
      <c r="A231">
        <v>1230</v>
      </c>
      <c r="B231" s="4">
        <v>46169</v>
      </c>
      <c r="C231" t="s">
        <v>40</v>
      </c>
      <c r="D231" t="s">
        <v>62</v>
      </c>
      <c r="E231">
        <v>4</v>
      </c>
      <c r="F231">
        <v>3000</v>
      </c>
      <c r="G231" t="s">
        <v>82</v>
      </c>
      <c r="H231" t="s">
        <v>84</v>
      </c>
      <c r="I231" t="s">
        <v>81</v>
      </c>
      <c r="J231">
        <v>12000</v>
      </c>
      <c r="K231" t="str">
        <f>_xlfn.XLOOKUP(Sales_Data[[#This Row],[Product_ID]],products!A:A,products!B:B,"Not Found")</f>
        <v>Webcam</v>
      </c>
      <c r="L231" t="str">
        <f>_xlfn.XLOOKUP(Sales_Data[[#This Row],[Product_ID]],products!A:A,products!C:C,"Not Found")</f>
        <v>Accessories</v>
      </c>
      <c r="M231" t="str">
        <f>_xlfn.XLOOKUP(C231,customers!A:A,customers!B:B,"Not Found")</f>
        <v>Nitin More</v>
      </c>
      <c r="N231" t="str">
        <f>_xlfn.XLOOKUP(C230,customers!A:A,customers!C:C,"Not Found")</f>
        <v>Nagpur</v>
      </c>
      <c r="O231" t="str">
        <f>IF(Sales_Data[[#This Row],[Total_Sales]]&gt;=50000,"High","Low")</f>
        <v>Low</v>
      </c>
    </row>
    <row r="232" spans="1:15" x14ac:dyDescent="0.3">
      <c r="A232">
        <v>1231</v>
      </c>
      <c r="B232" s="4">
        <v>46038</v>
      </c>
      <c r="C232" t="s">
        <v>9</v>
      </c>
      <c r="D232" t="s">
        <v>64</v>
      </c>
      <c r="E232">
        <v>8</v>
      </c>
      <c r="F232">
        <v>900</v>
      </c>
      <c r="G232" t="s">
        <v>78</v>
      </c>
      <c r="H232" t="s">
        <v>83</v>
      </c>
      <c r="I232" t="s">
        <v>77</v>
      </c>
      <c r="J232">
        <v>7200</v>
      </c>
      <c r="K232" t="str">
        <f>_xlfn.XLOOKUP(Sales_Data[[#This Row],[Product_ID]],products!A:A,products!B:B,"Not Found")</f>
        <v>USB Drive</v>
      </c>
      <c r="L232" t="str">
        <f>_xlfn.XLOOKUP(Sales_Data[[#This Row],[Product_ID]],products!A:A,products!C:C,"Not Found")</f>
        <v>Accessories</v>
      </c>
      <c r="M232" t="str">
        <f>_xlfn.XLOOKUP(C232,customers!A:A,customers!B:B,"Not Found")</f>
        <v>Amit Verma</v>
      </c>
      <c r="N232" t="str">
        <f>_xlfn.XLOOKUP(C231,customers!A:A,customers!C:C,"Not Found")</f>
        <v>Nagpur</v>
      </c>
      <c r="O232" t="str">
        <f>IF(Sales_Data[[#This Row],[Total_Sales]]&gt;=50000,"High","Low")</f>
        <v>Low</v>
      </c>
    </row>
    <row r="233" spans="1:15" x14ac:dyDescent="0.3">
      <c r="A233">
        <v>1232</v>
      </c>
      <c r="B233" s="4">
        <v>46067</v>
      </c>
      <c r="C233" t="s">
        <v>32</v>
      </c>
      <c r="D233" t="s">
        <v>64</v>
      </c>
      <c r="E233">
        <v>1</v>
      </c>
      <c r="F233">
        <v>900</v>
      </c>
      <c r="G233" t="s">
        <v>75</v>
      </c>
      <c r="H233" t="s">
        <v>88</v>
      </c>
      <c r="I233" t="s">
        <v>81</v>
      </c>
      <c r="J233">
        <v>900</v>
      </c>
      <c r="K233" t="str">
        <f>_xlfn.XLOOKUP(Sales_Data[[#This Row],[Product_ID]],products!A:A,products!B:B,"Not Found")</f>
        <v>USB Drive</v>
      </c>
      <c r="L233" t="str">
        <f>_xlfn.XLOOKUP(Sales_Data[[#This Row],[Product_ID]],products!A:A,products!C:C,"Not Found")</f>
        <v>Accessories</v>
      </c>
      <c r="M233" t="str">
        <f>_xlfn.XLOOKUP(C233,customers!A:A,customers!B:B,"Not Found")</f>
        <v>Sahil Khan</v>
      </c>
      <c r="N233" t="str">
        <f>_xlfn.XLOOKUP(C232,customers!A:A,customers!C:C,"Not Found")</f>
        <v>Mumbai</v>
      </c>
      <c r="O233" t="str">
        <f>IF(Sales_Data[[#This Row],[Total_Sales]]&gt;=50000,"High","Low")</f>
        <v>Low</v>
      </c>
    </row>
    <row r="234" spans="1:15" x14ac:dyDescent="0.3">
      <c r="A234">
        <v>1233</v>
      </c>
      <c r="B234" s="4">
        <v>46179</v>
      </c>
      <c r="C234" t="s">
        <v>27</v>
      </c>
      <c r="D234" t="s">
        <v>64</v>
      </c>
      <c r="E234">
        <v>3</v>
      </c>
      <c r="F234">
        <v>900</v>
      </c>
      <c r="G234" t="s">
        <v>82</v>
      </c>
      <c r="H234" t="s">
        <v>83</v>
      </c>
      <c r="I234" t="s">
        <v>85</v>
      </c>
      <c r="J234">
        <v>2700</v>
      </c>
      <c r="K234" t="str">
        <f>_xlfn.XLOOKUP(Sales_Data[[#This Row],[Product_ID]],products!A:A,products!B:B,"Not Found")</f>
        <v>USB Drive</v>
      </c>
      <c r="L234" t="str">
        <f>_xlfn.XLOOKUP(Sales_Data[[#This Row],[Product_ID]],products!A:A,products!C:C,"Not Found")</f>
        <v>Accessories</v>
      </c>
      <c r="M234" t="str">
        <f>_xlfn.XLOOKUP(C234,customers!A:A,customers!B:B,"Not Found")</f>
        <v>Vikas Yadav</v>
      </c>
      <c r="N234" t="str">
        <f>_xlfn.XLOOKUP(C233,customers!A:A,customers!C:C,"Not Found")</f>
        <v>Pune</v>
      </c>
      <c r="O234" t="str">
        <f>IF(Sales_Data[[#This Row],[Total_Sales]]&gt;=50000,"High","Low")</f>
        <v>Low</v>
      </c>
    </row>
    <row r="235" spans="1:15" x14ac:dyDescent="0.3">
      <c r="A235">
        <v>1234</v>
      </c>
      <c r="B235" s="4">
        <v>46109</v>
      </c>
      <c r="C235" t="s">
        <v>21</v>
      </c>
      <c r="D235" t="s">
        <v>60</v>
      </c>
      <c r="E235">
        <v>1</v>
      </c>
      <c r="F235">
        <v>22000</v>
      </c>
      <c r="G235" t="s">
        <v>86</v>
      </c>
      <c r="H235" t="s">
        <v>83</v>
      </c>
      <c r="I235" t="s">
        <v>77</v>
      </c>
      <c r="J235">
        <v>22000</v>
      </c>
      <c r="K235" t="str">
        <f>_xlfn.XLOOKUP(Sales_Data[[#This Row],[Product_ID]],products!A:A,products!B:B,"Not Found")</f>
        <v>Tablet</v>
      </c>
      <c r="L235" t="str">
        <f>_xlfn.XLOOKUP(Sales_Data[[#This Row],[Product_ID]],products!A:A,products!C:C,"Not Found")</f>
        <v>Electronics</v>
      </c>
      <c r="M235" t="str">
        <f>_xlfn.XLOOKUP(C235,customers!A:A,customers!B:B,"Not Found")</f>
        <v>Karan Mehta</v>
      </c>
      <c r="N235" t="str">
        <f>_xlfn.XLOOKUP(C234,customers!A:A,customers!C:C,"Not Found")</f>
        <v>Thane</v>
      </c>
      <c r="O235" t="str">
        <f>IF(Sales_Data[[#This Row],[Total_Sales]]&gt;=50000,"High","Low")</f>
        <v>Low</v>
      </c>
    </row>
    <row r="236" spans="1:15" x14ac:dyDescent="0.3">
      <c r="A236">
        <v>1235</v>
      </c>
      <c r="B236" s="4">
        <v>46165</v>
      </c>
      <c r="C236" t="s">
        <v>6</v>
      </c>
      <c r="D236" t="s">
        <v>58</v>
      </c>
      <c r="E236">
        <v>7</v>
      </c>
      <c r="F236">
        <v>12000</v>
      </c>
      <c r="G236" t="s">
        <v>82</v>
      </c>
      <c r="H236" t="s">
        <v>83</v>
      </c>
      <c r="I236" t="s">
        <v>87</v>
      </c>
      <c r="J236">
        <v>84000</v>
      </c>
      <c r="K236" t="str">
        <f>_xlfn.XLOOKUP(Sales_Data[[#This Row],[Product_ID]],products!A:A,products!B:B,"Not Found")</f>
        <v>Printer</v>
      </c>
      <c r="L236" t="str">
        <f>_xlfn.XLOOKUP(Sales_Data[[#This Row],[Product_ID]],products!A:A,products!C:C,"Not Found")</f>
        <v>Electronics</v>
      </c>
      <c r="M236" t="str">
        <f>_xlfn.XLOOKUP(C236,customers!A:A,customers!B:B,"Not Found")</f>
        <v>Priya Patil</v>
      </c>
      <c r="N236" t="str">
        <f>_xlfn.XLOOKUP(C235,customers!A:A,customers!C:C,"Not Found")</f>
        <v>Bhopal</v>
      </c>
      <c r="O236" t="str">
        <f>IF(Sales_Data[[#This Row],[Total_Sales]]&gt;=50000,"High","Low")</f>
        <v>High</v>
      </c>
    </row>
    <row r="237" spans="1:15" x14ac:dyDescent="0.3">
      <c r="A237">
        <v>1236</v>
      </c>
      <c r="B237" s="4">
        <v>46172</v>
      </c>
      <c r="C237" t="s">
        <v>6</v>
      </c>
      <c r="D237" t="s">
        <v>58</v>
      </c>
      <c r="E237">
        <v>3</v>
      </c>
      <c r="F237">
        <v>12000</v>
      </c>
      <c r="G237" t="s">
        <v>82</v>
      </c>
      <c r="H237" t="s">
        <v>83</v>
      </c>
      <c r="I237" t="s">
        <v>81</v>
      </c>
      <c r="J237">
        <v>36000</v>
      </c>
      <c r="K237" t="str">
        <f>_xlfn.XLOOKUP(Sales_Data[[#This Row],[Product_ID]],products!A:A,products!B:B,"Not Found")</f>
        <v>Printer</v>
      </c>
      <c r="L237" t="str">
        <f>_xlfn.XLOOKUP(Sales_Data[[#This Row],[Product_ID]],products!A:A,products!C:C,"Not Found")</f>
        <v>Electronics</v>
      </c>
      <c r="M237" t="str">
        <f>_xlfn.XLOOKUP(C237,customers!A:A,customers!B:B,"Not Found")</f>
        <v>Priya Patil</v>
      </c>
      <c r="N237" t="str">
        <f>_xlfn.XLOOKUP(C236,customers!A:A,customers!C:C,"Not Found")</f>
        <v>Pune</v>
      </c>
      <c r="O237" t="str">
        <f>IF(Sales_Data[[#This Row],[Total_Sales]]&gt;=50000,"High","Low")</f>
        <v>Low</v>
      </c>
    </row>
    <row r="238" spans="1:15" x14ac:dyDescent="0.3">
      <c r="A238">
        <v>1237</v>
      </c>
      <c r="B238" s="4">
        <v>46044</v>
      </c>
      <c r="C238" t="s">
        <v>30</v>
      </c>
      <c r="D238" t="s">
        <v>52</v>
      </c>
      <c r="E238">
        <v>5</v>
      </c>
      <c r="F238">
        <v>800</v>
      </c>
      <c r="G238" t="s">
        <v>80</v>
      </c>
      <c r="H238" t="s">
        <v>88</v>
      </c>
      <c r="I238" t="s">
        <v>85</v>
      </c>
      <c r="J238">
        <v>4000</v>
      </c>
      <c r="K238" t="str">
        <f>_xlfn.XLOOKUP(Sales_Data[[#This Row],[Product_ID]],products!A:A,products!B:B,"Not Found")</f>
        <v>Mouse</v>
      </c>
      <c r="L238" t="str">
        <f>_xlfn.XLOOKUP(Sales_Data[[#This Row],[Product_ID]],products!A:A,products!C:C,"Not Found")</f>
        <v>Accessories</v>
      </c>
      <c r="M238" t="str">
        <f>_xlfn.XLOOKUP(C238,customers!A:A,customers!B:B,"Not Found")</f>
        <v>Anjali Kulkarni</v>
      </c>
      <c r="N238" t="str">
        <f>_xlfn.XLOOKUP(C237,customers!A:A,customers!C:C,"Not Found")</f>
        <v>Pune</v>
      </c>
      <c r="O238" t="str">
        <f>IF(Sales_Data[[#This Row],[Total_Sales]]&gt;=50000,"High","Low")</f>
        <v>Low</v>
      </c>
    </row>
    <row r="239" spans="1:15" x14ac:dyDescent="0.3">
      <c r="A239">
        <v>1238</v>
      </c>
      <c r="B239" s="4">
        <v>46202</v>
      </c>
      <c r="C239" t="s">
        <v>32</v>
      </c>
      <c r="D239" t="s">
        <v>52</v>
      </c>
      <c r="E239">
        <v>2</v>
      </c>
      <c r="F239">
        <v>800</v>
      </c>
      <c r="G239" t="s">
        <v>86</v>
      </c>
      <c r="H239" t="s">
        <v>88</v>
      </c>
      <c r="I239" t="s">
        <v>85</v>
      </c>
      <c r="J239">
        <v>1600</v>
      </c>
      <c r="K239" t="str">
        <f>_xlfn.XLOOKUP(Sales_Data[[#This Row],[Product_ID]],products!A:A,products!B:B,"Not Found")</f>
        <v>Mouse</v>
      </c>
      <c r="L239" t="str">
        <f>_xlfn.XLOOKUP(Sales_Data[[#This Row],[Product_ID]],products!A:A,products!C:C,"Not Found")</f>
        <v>Accessories</v>
      </c>
      <c r="M239" t="str">
        <f>_xlfn.XLOOKUP(C239,customers!A:A,customers!B:B,"Not Found")</f>
        <v>Sahil Khan</v>
      </c>
      <c r="N239" t="str">
        <f>_xlfn.XLOOKUP(C238,customers!A:A,customers!C:C,"Not Found")</f>
        <v>Nagpur</v>
      </c>
      <c r="O239" t="str">
        <f>IF(Sales_Data[[#This Row],[Total_Sales]]&gt;=50000,"High","Low")</f>
        <v>Low</v>
      </c>
    </row>
    <row r="240" spans="1:15" x14ac:dyDescent="0.3">
      <c r="A240">
        <v>1239</v>
      </c>
      <c r="B240" s="4">
        <v>46102</v>
      </c>
      <c r="C240" t="s">
        <v>18</v>
      </c>
      <c r="D240" t="s">
        <v>46</v>
      </c>
      <c r="E240">
        <v>3</v>
      </c>
      <c r="F240">
        <v>55000</v>
      </c>
      <c r="G240" t="s">
        <v>75</v>
      </c>
      <c r="H240" t="s">
        <v>83</v>
      </c>
      <c r="I240" t="s">
        <v>81</v>
      </c>
      <c r="J240">
        <v>165000</v>
      </c>
      <c r="K240" t="str">
        <f>_xlfn.XLOOKUP(Sales_Data[[#This Row],[Product_ID]],products!A:A,products!B:B,"Not Found")</f>
        <v>Laptop</v>
      </c>
      <c r="L240" t="str">
        <f>_xlfn.XLOOKUP(Sales_Data[[#This Row],[Product_ID]],products!A:A,products!C:C,"Not Found")</f>
        <v>Electronics</v>
      </c>
      <c r="M240" t="str">
        <f>_xlfn.XLOOKUP(C240,customers!A:A,customers!B:B,"Not Found")</f>
        <v>Neha Gupta</v>
      </c>
      <c r="N240" t="str">
        <f>_xlfn.XLOOKUP(C239,customers!A:A,customers!C:C,"Not Found")</f>
        <v>Pune</v>
      </c>
      <c r="O240" t="str">
        <f>IF(Sales_Data[[#This Row],[Total_Sales]]&gt;=50000,"High","Low")</f>
        <v>High</v>
      </c>
    </row>
    <row r="241" spans="1:15" x14ac:dyDescent="0.3">
      <c r="A241">
        <v>1240</v>
      </c>
      <c r="B241" s="4">
        <v>46058</v>
      </c>
      <c r="C241" t="s">
        <v>12</v>
      </c>
      <c r="D241" t="s">
        <v>54</v>
      </c>
      <c r="E241">
        <v>3</v>
      </c>
      <c r="F241">
        <v>15000</v>
      </c>
      <c r="G241" t="s">
        <v>78</v>
      </c>
      <c r="H241" t="s">
        <v>83</v>
      </c>
      <c r="I241" t="s">
        <v>77</v>
      </c>
      <c r="J241">
        <v>45000</v>
      </c>
      <c r="K241" t="str">
        <f>_xlfn.XLOOKUP(Sales_Data[[#This Row],[Product_ID]],products!A:A,products!B:B,"Not Found")</f>
        <v>Monitor</v>
      </c>
      <c r="L241" t="str">
        <f>_xlfn.XLOOKUP(Sales_Data[[#This Row],[Product_ID]],products!A:A,products!C:C,"Not Found")</f>
        <v>Electronics</v>
      </c>
      <c r="M241" t="str">
        <f>_xlfn.XLOOKUP(C241,customers!A:A,customers!B:B,"Not Found")</f>
        <v>Sneha Joshi</v>
      </c>
      <c r="N241" t="str">
        <f>_xlfn.XLOOKUP(C240,customers!A:A,customers!C:C,"Not Found")</f>
        <v>Indore</v>
      </c>
      <c r="O241" t="str">
        <f>IF(Sales_Data[[#This Row],[Total_Sales]]&gt;=50000,"High","Low")</f>
        <v>Low</v>
      </c>
    </row>
    <row r="242" spans="1:15" x14ac:dyDescent="0.3">
      <c r="A242">
        <v>1241</v>
      </c>
      <c r="B242" s="4">
        <v>46161</v>
      </c>
      <c r="C242" t="s">
        <v>36</v>
      </c>
      <c r="D242" t="s">
        <v>64</v>
      </c>
      <c r="E242">
        <v>1</v>
      </c>
      <c r="F242">
        <v>900</v>
      </c>
      <c r="G242" t="s">
        <v>86</v>
      </c>
      <c r="H242" t="s">
        <v>83</v>
      </c>
      <c r="I242" t="s">
        <v>87</v>
      </c>
      <c r="J242">
        <v>900</v>
      </c>
      <c r="K242" t="str">
        <f>_xlfn.XLOOKUP(Sales_Data[[#This Row],[Product_ID]],products!A:A,products!B:B,"Not Found")</f>
        <v>USB Drive</v>
      </c>
      <c r="L242" t="str">
        <f>_xlfn.XLOOKUP(Sales_Data[[#This Row],[Product_ID]],products!A:A,products!C:C,"Not Found")</f>
        <v>Accessories</v>
      </c>
      <c r="M242" t="str">
        <f>_xlfn.XLOOKUP(C242,customers!A:A,customers!B:B,"Not Found")</f>
        <v>Akash Jain</v>
      </c>
      <c r="N242" t="str">
        <f>_xlfn.XLOOKUP(C241,customers!A:A,customers!C:C,"Not Found")</f>
        <v>Nashik</v>
      </c>
      <c r="O242" t="str">
        <f>IF(Sales_Data[[#This Row],[Total_Sales]]&gt;=50000,"High","Low")</f>
        <v>Low</v>
      </c>
    </row>
    <row r="243" spans="1:15" x14ac:dyDescent="0.3">
      <c r="A243">
        <v>1242</v>
      </c>
      <c r="B243" s="4">
        <v>46062</v>
      </c>
      <c r="C243" t="s">
        <v>21</v>
      </c>
      <c r="D243" t="s">
        <v>66</v>
      </c>
      <c r="E243">
        <v>3</v>
      </c>
      <c r="F243">
        <v>30000</v>
      </c>
      <c r="G243" t="s">
        <v>75</v>
      </c>
      <c r="H243" t="s">
        <v>84</v>
      </c>
      <c r="I243" t="s">
        <v>87</v>
      </c>
      <c r="J243">
        <v>90000</v>
      </c>
      <c r="K243" t="str">
        <f>_xlfn.XLOOKUP(Sales_Data[[#This Row],[Product_ID]],products!A:A,products!B:B,"Not Found")</f>
        <v>Smartphone</v>
      </c>
      <c r="L243" t="str">
        <f>_xlfn.XLOOKUP(Sales_Data[[#This Row],[Product_ID]],products!A:A,products!C:C,"Not Found")</f>
        <v>Electronics</v>
      </c>
      <c r="M243" t="str">
        <f>_xlfn.XLOOKUP(C243,customers!A:A,customers!B:B,"Not Found")</f>
        <v>Karan Mehta</v>
      </c>
      <c r="N243" t="str">
        <f>_xlfn.XLOOKUP(C242,customers!A:A,customers!C:C,"Not Found")</f>
        <v>Nashik</v>
      </c>
      <c r="O243" t="str">
        <f>IF(Sales_Data[[#This Row],[Total_Sales]]&gt;=50000,"High","Low")</f>
        <v>High</v>
      </c>
    </row>
    <row r="244" spans="1:15" x14ac:dyDescent="0.3">
      <c r="A244">
        <v>1243</v>
      </c>
      <c r="B244" s="4">
        <v>46128</v>
      </c>
      <c r="C244" t="s">
        <v>3</v>
      </c>
      <c r="D244" t="s">
        <v>62</v>
      </c>
      <c r="E244">
        <v>6</v>
      </c>
      <c r="F244">
        <v>3000</v>
      </c>
      <c r="G244" t="s">
        <v>86</v>
      </c>
      <c r="H244" t="s">
        <v>76</v>
      </c>
      <c r="I244" t="s">
        <v>81</v>
      </c>
      <c r="J244">
        <v>18000</v>
      </c>
      <c r="K244" t="str">
        <f>_xlfn.XLOOKUP(Sales_Data[[#This Row],[Product_ID]],products!A:A,products!B:B,"Not Found")</f>
        <v>Webcam</v>
      </c>
      <c r="L244" t="str">
        <f>_xlfn.XLOOKUP(Sales_Data[[#This Row],[Product_ID]],products!A:A,products!C:C,"Not Found")</f>
        <v>Accessories</v>
      </c>
      <c r="M244" t="str">
        <f>_xlfn.XLOOKUP(C244,customers!A:A,customers!B:B,"Not Found")</f>
        <v>Rahul Sharma</v>
      </c>
      <c r="N244" t="str">
        <f>_xlfn.XLOOKUP(C243,customers!A:A,customers!C:C,"Not Found")</f>
        <v>Bhopal</v>
      </c>
      <c r="O244" t="str">
        <f>IF(Sales_Data[[#This Row],[Total_Sales]]&gt;=50000,"High","Low")</f>
        <v>Low</v>
      </c>
    </row>
    <row r="245" spans="1:15" x14ac:dyDescent="0.3">
      <c r="A245">
        <v>1244</v>
      </c>
      <c r="B245" s="4">
        <v>46137</v>
      </c>
      <c r="C245" t="s">
        <v>15</v>
      </c>
      <c r="D245" t="s">
        <v>66</v>
      </c>
      <c r="E245">
        <v>4</v>
      </c>
      <c r="F245">
        <v>30000</v>
      </c>
      <c r="G245" t="s">
        <v>80</v>
      </c>
      <c r="H245" t="s">
        <v>76</v>
      </c>
      <c r="I245" t="s">
        <v>85</v>
      </c>
      <c r="J245">
        <v>120000</v>
      </c>
      <c r="K245" t="str">
        <f>_xlfn.XLOOKUP(Sales_Data[[#This Row],[Product_ID]],products!A:A,products!B:B,"Not Found")</f>
        <v>Smartphone</v>
      </c>
      <c r="L245" t="str">
        <f>_xlfn.XLOOKUP(Sales_Data[[#This Row],[Product_ID]],products!A:A,products!C:C,"Not Found")</f>
        <v>Electronics</v>
      </c>
      <c r="M245" t="str">
        <f>_xlfn.XLOOKUP(C245,customers!A:A,customers!B:B,"Not Found")</f>
        <v>Rohit Singh</v>
      </c>
      <c r="N245" t="str">
        <f>_xlfn.XLOOKUP(C244,customers!A:A,customers!C:C,"Not Found")</f>
        <v>Nagpur</v>
      </c>
      <c r="O245" t="str">
        <f>IF(Sales_Data[[#This Row],[Total_Sales]]&gt;=50000,"High","Low")</f>
        <v>High</v>
      </c>
    </row>
    <row r="246" spans="1:15" x14ac:dyDescent="0.3">
      <c r="A246">
        <v>1245</v>
      </c>
      <c r="B246" s="4">
        <v>46072</v>
      </c>
      <c r="C246" t="s">
        <v>40</v>
      </c>
      <c r="D246" t="s">
        <v>62</v>
      </c>
      <c r="E246">
        <v>6</v>
      </c>
      <c r="F246">
        <v>3000</v>
      </c>
      <c r="G246" t="s">
        <v>86</v>
      </c>
      <c r="H246" t="s">
        <v>84</v>
      </c>
      <c r="I246" t="s">
        <v>81</v>
      </c>
      <c r="J246">
        <v>18000</v>
      </c>
      <c r="K246" t="str">
        <f>_xlfn.XLOOKUP(Sales_Data[[#This Row],[Product_ID]],products!A:A,products!B:B,"Not Found")</f>
        <v>Webcam</v>
      </c>
      <c r="L246" t="str">
        <f>_xlfn.XLOOKUP(Sales_Data[[#This Row],[Product_ID]],products!A:A,products!C:C,"Not Found")</f>
        <v>Accessories</v>
      </c>
      <c r="M246" t="str">
        <f>_xlfn.XLOOKUP(C246,customers!A:A,customers!B:B,"Not Found")</f>
        <v>Nitin More</v>
      </c>
      <c r="N246" t="str">
        <f>_xlfn.XLOOKUP(C245,customers!A:A,customers!C:C,"Not Found")</f>
        <v>Delhi</v>
      </c>
      <c r="O246" t="str">
        <f>IF(Sales_Data[[#This Row],[Total_Sales]]&gt;=50000,"High","Low")</f>
        <v>Low</v>
      </c>
    </row>
    <row r="247" spans="1:15" x14ac:dyDescent="0.3">
      <c r="A247">
        <v>1246</v>
      </c>
      <c r="B247" s="4">
        <v>46095</v>
      </c>
      <c r="C247" t="s">
        <v>36</v>
      </c>
      <c r="D247" t="s">
        <v>62</v>
      </c>
      <c r="E247">
        <v>7</v>
      </c>
      <c r="F247">
        <v>3000</v>
      </c>
      <c r="G247" t="s">
        <v>80</v>
      </c>
      <c r="H247" t="s">
        <v>84</v>
      </c>
      <c r="I247" t="s">
        <v>81</v>
      </c>
      <c r="J247">
        <v>21000</v>
      </c>
      <c r="K247" t="str">
        <f>_xlfn.XLOOKUP(Sales_Data[[#This Row],[Product_ID]],products!A:A,products!B:B,"Not Found")</f>
        <v>Webcam</v>
      </c>
      <c r="L247" t="str">
        <f>_xlfn.XLOOKUP(Sales_Data[[#This Row],[Product_ID]],products!A:A,products!C:C,"Not Found")</f>
        <v>Accessories</v>
      </c>
      <c r="M247" t="str">
        <f>_xlfn.XLOOKUP(C247,customers!A:A,customers!B:B,"Not Found")</f>
        <v>Akash Jain</v>
      </c>
      <c r="N247" t="str">
        <f>_xlfn.XLOOKUP(C246,customers!A:A,customers!C:C,"Not Found")</f>
        <v>Nagpur</v>
      </c>
      <c r="O247" t="str">
        <f>IF(Sales_Data[[#This Row],[Total_Sales]]&gt;=50000,"High","Low")</f>
        <v>Low</v>
      </c>
    </row>
    <row r="248" spans="1:15" x14ac:dyDescent="0.3">
      <c r="A248">
        <v>1247</v>
      </c>
      <c r="B248" s="4">
        <v>46074</v>
      </c>
      <c r="C248" t="s">
        <v>38</v>
      </c>
      <c r="D248" t="s">
        <v>52</v>
      </c>
      <c r="E248">
        <v>3</v>
      </c>
      <c r="F248">
        <v>800</v>
      </c>
      <c r="G248" t="s">
        <v>82</v>
      </c>
      <c r="H248" t="s">
        <v>79</v>
      </c>
      <c r="I248" t="s">
        <v>81</v>
      </c>
      <c r="J248">
        <v>2400</v>
      </c>
      <c r="K248" t="str">
        <f>_xlfn.XLOOKUP(Sales_Data[[#This Row],[Product_ID]],products!A:A,products!B:B,"Not Found")</f>
        <v>Mouse</v>
      </c>
      <c r="L248" t="str">
        <f>_xlfn.XLOOKUP(Sales_Data[[#This Row],[Product_ID]],products!A:A,products!C:C,"Not Found")</f>
        <v>Accessories</v>
      </c>
      <c r="M248" t="str">
        <f>_xlfn.XLOOKUP(C248,customers!A:A,customers!B:B,"Not Found")</f>
        <v>Komal Pawar</v>
      </c>
      <c r="N248" t="str">
        <f>_xlfn.XLOOKUP(C247,customers!A:A,customers!C:C,"Not Found")</f>
        <v>Nashik</v>
      </c>
      <c r="O248" t="str">
        <f>IF(Sales_Data[[#This Row],[Total_Sales]]&gt;=50000,"High","Low")</f>
        <v>Low</v>
      </c>
    </row>
    <row r="249" spans="1:15" x14ac:dyDescent="0.3">
      <c r="A249">
        <v>1248</v>
      </c>
      <c r="B249" s="4">
        <v>46049</v>
      </c>
      <c r="C249" t="s">
        <v>27</v>
      </c>
      <c r="D249" t="s">
        <v>58</v>
      </c>
      <c r="E249">
        <v>2</v>
      </c>
      <c r="F249">
        <v>12000</v>
      </c>
      <c r="G249" t="s">
        <v>82</v>
      </c>
      <c r="H249" t="s">
        <v>79</v>
      </c>
      <c r="I249" t="s">
        <v>87</v>
      </c>
      <c r="J249">
        <v>24000</v>
      </c>
      <c r="K249" t="str">
        <f>_xlfn.XLOOKUP(Sales_Data[[#This Row],[Product_ID]],products!A:A,products!B:B,"Not Found")</f>
        <v>Printer</v>
      </c>
      <c r="L249" t="str">
        <f>_xlfn.XLOOKUP(Sales_Data[[#This Row],[Product_ID]],products!A:A,products!C:C,"Not Found")</f>
        <v>Electronics</v>
      </c>
      <c r="M249" t="str">
        <f>_xlfn.XLOOKUP(C249,customers!A:A,customers!B:B,"Not Found")</f>
        <v>Vikas Yadav</v>
      </c>
      <c r="N249" t="str">
        <f>_xlfn.XLOOKUP(C248,customers!A:A,customers!C:C,"Not Found")</f>
        <v>Indore</v>
      </c>
      <c r="O249" t="str">
        <f>IF(Sales_Data[[#This Row],[Total_Sales]]&gt;=50000,"High","Low")</f>
        <v>Low</v>
      </c>
    </row>
    <row r="250" spans="1:15" x14ac:dyDescent="0.3">
      <c r="A250">
        <v>1249</v>
      </c>
      <c r="B250" s="4">
        <v>46154</v>
      </c>
      <c r="C250" t="s">
        <v>24</v>
      </c>
      <c r="D250" t="s">
        <v>56</v>
      </c>
      <c r="E250">
        <v>3</v>
      </c>
      <c r="F250">
        <v>3500</v>
      </c>
      <c r="G250" t="s">
        <v>89</v>
      </c>
      <c r="H250" t="s">
        <v>79</v>
      </c>
      <c r="I250" t="s">
        <v>87</v>
      </c>
      <c r="J250">
        <v>10500</v>
      </c>
      <c r="K250" t="str">
        <f>_xlfn.XLOOKUP(Sales_Data[[#This Row],[Product_ID]],products!A:A,products!B:B,"Not Found")</f>
        <v>Headphones</v>
      </c>
      <c r="L250" t="str">
        <f>_xlfn.XLOOKUP(Sales_Data[[#This Row],[Product_ID]],products!A:A,products!C:C,"Not Found")</f>
        <v>Accessories</v>
      </c>
      <c r="M250" t="str">
        <f>_xlfn.XLOOKUP(C250,customers!A:A,customers!B:B,"Not Found")</f>
        <v>Pooja Deshmukh</v>
      </c>
      <c r="N250" t="str">
        <f>_xlfn.XLOOKUP(C249,customers!A:A,customers!C:C,"Not Found")</f>
        <v>Thane</v>
      </c>
      <c r="O250" t="str">
        <f>IF(Sales_Data[[#This Row],[Total_Sales]]&gt;=50000,"High","Low")</f>
        <v>Low</v>
      </c>
    </row>
    <row r="251" spans="1:15" x14ac:dyDescent="0.3">
      <c r="A251">
        <v>1250</v>
      </c>
      <c r="B251" s="4">
        <v>46112</v>
      </c>
      <c r="C251" t="s">
        <v>40</v>
      </c>
      <c r="D251" t="s">
        <v>62</v>
      </c>
      <c r="E251">
        <v>1</v>
      </c>
      <c r="F251">
        <v>3000</v>
      </c>
      <c r="G251" t="s">
        <v>89</v>
      </c>
      <c r="H251" t="s">
        <v>79</v>
      </c>
      <c r="I251" t="s">
        <v>81</v>
      </c>
      <c r="J251">
        <v>3000</v>
      </c>
      <c r="K251" t="str">
        <f>_xlfn.XLOOKUP(Sales_Data[[#This Row],[Product_ID]],products!A:A,products!B:B,"Not Found")</f>
        <v>Webcam</v>
      </c>
      <c r="L251" t="str">
        <f>_xlfn.XLOOKUP(Sales_Data[[#This Row],[Product_ID]],products!A:A,products!C:C,"Not Found")</f>
        <v>Accessories</v>
      </c>
      <c r="M251" t="str">
        <f>_xlfn.XLOOKUP(C251,customers!A:A,customers!B:B,"Not Found")</f>
        <v>Nitin More</v>
      </c>
      <c r="N251" t="str">
        <f>_xlfn.XLOOKUP(C250,customers!A:A,customers!C:C,"Not Found")</f>
        <v>Aurangabad</v>
      </c>
      <c r="O251" t="str">
        <f>IF(Sales_Data[[#This Row],[Total_Sales]]&gt;=50000,"High","Low")</f>
        <v>Low</v>
      </c>
    </row>
    <row r="252" spans="1:15" x14ac:dyDescent="0.3">
      <c r="A252">
        <v>1251</v>
      </c>
      <c r="B252" s="4">
        <v>46083</v>
      </c>
      <c r="C252" t="s">
        <v>18</v>
      </c>
      <c r="D252" t="s">
        <v>64</v>
      </c>
      <c r="E252">
        <v>7</v>
      </c>
      <c r="F252">
        <v>900</v>
      </c>
      <c r="G252" t="s">
        <v>78</v>
      </c>
      <c r="H252" t="s">
        <v>83</v>
      </c>
      <c r="I252" t="s">
        <v>87</v>
      </c>
      <c r="J252">
        <v>6300</v>
      </c>
      <c r="K252" t="str">
        <f>_xlfn.XLOOKUP(Sales_Data[[#This Row],[Product_ID]],products!A:A,products!B:B,"Not Found")</f>
        <v>USB Drive</v>
      </c>
      <c r="L252" t="str">
        <f>_xlfn.XLOOKUP(Sales_Data[[#This Row],[Product_ID]],products!A:A,products!C:C,"Not Found")</f>
        <v>Accessories</v>
      </c>
      <c r="M252" t="str">
        <f>_xlfn.XLOOKUP(C252,customers!A:A,customers!B:B,"Not Found")</f>
        <v>Neha Gupta</v>
      </c>
      <c r="N252" t="str">
        <f>_xlfn.XLOOKUP(C251,customers!A:A,customers!C:C,"Not Found")</f>
        <v>Nagpur</v>
      </c>
      <c r="O252" t="str">
        <f>IF(Sales_Data[[#This Row],[Total_Sales]]&gt;=50000,"High","Low")</f>
        <v>Low</v>
      </c>
    </row>
    <row r="253" spans="1:15" x14ac:dyDescent="0.3">
      <c r="A253">
        <v>1252</v>
      </c>
      <c r="B253" s="4">
        <v>46048</v>
      </c>
      <c r="C253" t="s">
        <v>18</v>
      </c>
      <c r="D253" t="s">
        <v>46</v>
      </c>
      <c r="E253">
        <v>6</v>
      </c>
      <c r="F253">
        <v>55000</v>
      </c>
      <c r="G253" t="s">
        <v>75</v>
      </c>
      <c r="H253" t="s">
        <v>76</v>
      </c>
      <c r="I253" t="s">
        <v>77</v>
      </c>
      <c r="J253">
        <v>330000</v>
      </c>
      <c r="K253" t="str">
        <f>_xlfn.XLOOKUP(Sales_Data[[#This Row],[Product_ID]],products!A:A,products!B:B,"Not Found")</f>
        <v>Laptop</v>
      </c>
      <c r="L253" t="str">
        <f>_xlfn.XLOOKUP(Sales_Data[[#This Row],[Product_ID]],products!A:A,products!C:C,"Not Found")</f>
        <v>Electronics</v>
      </c>
      <c r="M253" t="str">
        <f>_xlfn.XLOOKUP(C253,customers!A:A,customers!B:B,"Not Found")</f>
        <v>Neha Gupta</v>
      </c>
      <c r="N253" t="str">
        <f>_xlfn.XLOOKUP(C252,customers!A:A,customers!C:C,"Not Found")</f>
        <v>Indore</v>
      </c>
      <c r="O253" t="str">
        <f>IF(Sales_Data[[#This Row],[Total_Sales]]&gt;=50000,"High","Low")</f>
        <v>High</v>
      </c>
    </row>
    <row r="254" spans="1:15" x14ac:dyDescent="0.3">
      <c r="A254">
        <v>1253</v>
      </c>
      <c r="B254" s="4">
        <v>46143</v>
      </c>
      <c r="C254" t="s">
        <v>40</v>
      </c>
      <c r="D254" t="s">
        <v>56</v>
      </c>
      <c r="E254">
        <v>3</v>
      </c>
      <c r="F254">
        <v>3500</v>
      </c>
      <c r="G254" t="s">
        <v>86</v>
      </c>
      <c r="H254" t="s">
        <v>88</v>
      </c>
      <c r="I254" t="s">
        <v>81</v>
      </c>
      <c r="J254">
        <v>10500</v>
      </c>
      <c r="K254" t="str">
        <f>_xlfn.XLOOKUP(Sales_Data[[#This Row],[Product_ID]],products!A:A,products!B:B,"Not Found")</f>
        <v>Headphones</v>
      </c>
      <c r="L254" t="str">
        <f>_xlfn.XLOOKUP(Sales_Data[[#This Row],[Product_ID]],products!A:A,products!C:C,"Not Found")</f>
        <v>Accessories</v>
      </c>
      <c r="M254" t="str">
        <f>_xlfn.XLOOKUP(C254,customers!A:A,customers!B:B,"Not Found")</f>
        <v>Nitin More</v>
      </c>
      <c r="N254" t="str">
        <f>_xlfn.XLOOKUP(C253,customers!A:A,customers!C:C,"Not Found")</f>
        <v>Indore</v>
      </c>
      <c r="O254" t="str">
        <f>IF(Sales_Data[[#This Row],[Total_Sales]]&gt;=50000,"High","Low")</f>
        <v>Low</v>
      </c>
    </row>
    <row r="255" spans="1:15" x14ac:dyDescent="0.3">
      <c r="A255">
        <v>1254</v>
      </c>
      <c r="B255" s="4">
        <v>46043</v>
      </c>
      <c r="C255" t="s">
        <v>3</v>
      </c>
      <c r="D255" t="s">
        <v>66</v>
      </c>
      <c r="E255">
        <v>1</v>
      </c>
      <c r="F255">
        <v>30000</v>
      </c>
      <c r="G255" t="s">
        <v>82</v>
      </c>
      <c r="H255" t="s">
        <v>76</v>
      </c>
      <c r="I255" t="s">
        <v>87</v>
      </c>
      <c r="J255">
        <v>30000</v>
      </c>
      <c r="K255" t="str">
        <f>_xlfn.XLOOKUP(Sales_Data[[#This Row],[Product_ID]],products!A:A,products!B:B,"Not Found")</f>
        <v>Smartphone</v>
      </c>
      <c r="L255" t="str">
        <f>_xlfn.XLOOKUP(Sales_Data[[#This Row],[Product_ID]],products!A:A,products!C:C,"Not Found")</f>
        <v>Electronics</v>
      </c>
      <c r="M255" t="str">
        <f>_xlfn.XLOOKUP(C255,customers!A:A,customers!B:B,"Not Found")</f>
        <v>Rahul Sharma</v>
      </c>
      <c r="N255" t="str">
        <f>_xlfn.XLOOKUP(C254,customers!A:A,customers!C:C,"Not Found")</f>
        <v>Nagpur</v>
      </c>
      <c r="O255" t="str">
        <f>IF(Sales_Data[[#This Row],[Total_Sales]]&gt;=50000,"High","Low")</f>
        <v>Low</v>
      </c>
    </row>
    <row r="256" spans="1:15" x14ac:dyDescent="0.3">
      <c r="A256">
        <v>1255</v>
      </c>
      <c r="B256" s="4">
        <v>46178</v>
      </c>
      <c r="C256" t="s">
        <v>34</v>
      </c>
      <c r="D256" t="s">
        <v>64</v>
      </c>
      <c r="E256">
        <v>7</v>
      </c>
      <c r="F256">
        <v>900</v>
      </c>
      <c r="G256" t="s">
        <v>78</v>
      </c>
      <c r="H256" t="s">
        <v>83</v>
      </c>
      <c r="I256" t="s">
        <v>87</v>
      </c>
      <c r="J256">
        <v>6300</v>
      </c>
      <c r="K256" t="str">
        <f>_xlfn.XLOOKUP(Sales_Data[[#This Row],[Product_ID]],products!A:A,products!B:B,"Not Found")</f>
        <v>USB Drive</v>
      </c>
      <c r="L256" t="str">
        <f>_xlfn.XLOOKUP(Sales_Data[[#This Row],[Product_ID]],products!A:A,products!C:C,"Not Found")</f>
        <v>Accessories</v>
      </c>
      <c r="M256" t="str">
        <f>_xlfn.XLOOKUP(C256,customers!A:A,customers!B:B,"Not Found")</f>
        <v>Riya Shah</v>
      </c>
      <c r="N256" t="str">
        <f>_xlfn.XLOOKUP(C255,customers!A:A,customers!C:C,"Not Found")</f>
        <v>Nagpur</v>
      </c>
      <c r="O256" t="str">
        <f>IF(Sales_Data[[#This Row],[Total_Sales]]&gt;=50000,"High","Low")</f>
        <v>Low</v>
      </c>
    </row>
    <row r="257" spans="1:15" x14ac:dyDescent="0.3">
      <c r="A257">
        <v>1256</v>
      </c>
      <c r="B257" s="4">
        <v>46035</v>
      </c>
      <c r="C257" t="s">
        <v>6</v>
      </c>
      <c r="D257" t="s">
        <v>56</v>
      </c>
      <c r="E257">
        <v>4</v>
      </c>
      <c r="F257">
        <v>3500</v>
      </c>
      <c r="G257" t="s">
        <v>89</v>
      </c>
      <c r="H257" t="s">
        <v>84</v>
      </c>
      <c r="I257" t="s">
        <v>81</v>
      </c>
      <c r="J257">
        <v>14000</v>
      </c>
      <c r="K257" t="str">
        <f>_xlfn.XLOOKUP(Sales_Data[[#This Row],[Product_ID]],products!A:A,products!B:B,"Not Found")</f>
        <v>Headphones</v>
      </c>
      <c r="L257" t="str">
        <f>_xlfn.XLOOKUP(Sales_Data[[#This Row],[Product_ID]],products!A:A,products!C:C,"Not Found")</f>
        <v>Accessories</v>
      </c>
      <c r="M257" t="str">
        <f>_xlfn.XLOOKUP(C257,customers!A:A,customers!B:B,"Not Found")</f>
        <v>Priya Patil</v>
      </c>
      <c r="N257" t="str">
        <f>_xlfn.XLOOKUP(C256,customers!A:A,customers!C:C,"Not Found")</f>
        <v>Mumbai</v>
      </c>
      <c r="O257" t="str">
        <f>IF(Sales_Data[[#This Row],[Total_Sales]]&gt;=50000,"High","Low")</f>
        <v>Low</v>
      </c>
    </row>
    <row r="258" spans="1:15" x14ac:dyDescent="0.3">
      <c r="A258">
        <v>1257</v>
      </c>
      <c r="B258" s="4">
        <v>46150</v>
      </c>
      <c r="C258" t="s">
        <v>6</v>
      </c>
      <c r="D258" t="s">
        <v>49</v>
      </c>
      <c r="E258">
        <v>1</v>
      </c>
      <c r="F258">
        <v>2500</v>
      </c>
      <c r="G258" t="s">
        <v>86</v>
      </c>
      <c r="H258" t="s">
        <v>84</v>
      </c>
      <c r="I258" t="s">
        <v>87</v>
      </c>
      <c r="J258">
        <v>2500</v>
      </c>
      <c r="K258" t="str">
        <f>_xlfn.XLOOKUP(Sales_Data[[#This Row],[Product_ID]],products!A:A,products!B:B,"Not Found")</f>
        <v>Keyboard</v>
      </c>
      <c r="L258" t="str">
        <f>_xlfn.XLOOKUP(Sales_Data[[#This Row],[Product_ID]],products!A:A,products!C:C,"Not Found")</f>
        <v>Accessories</v>
      </c>
      <c r="M258" t="str">
        <f>_xlfn.XLOOKUP(C258,customers!A:A,customers!B:B,"Not Found")</f>
        <v>Priya Patil</v>
      </c>
      <c r="N258" t="str">
        <f>_xlfn.XLOOKUP(C257,customers!A:A,customers!C:C,"Not Found")</f>
        <v>Pune</v>
      </c>
      <c r="O258" t="str">
        <f>IF(Sales_Data[[#This Row],[Total_Sales]]&gt;=50000,"High","Low")</f>
        <v>Low</v>
      </c>
    </row>
    <row r="259" spans="1:15" x14ac:dyDescent="0.3">
      <c r="A259">
        <v>1258</v>
      </c>
      <c r="B259" s="4">
        <v>46132</v>
      </c>
      <c r="C259" t="s">
        <v>15</v>
      </c>
      <c r="D259" t="s">
        <v>52</v>
      </c>
      <c r="E259">
        <v>1</v>
      </c>
      <c r="F259">
        <v>800</v>
      </c>
      <c r="G259" t="s">
        <v>80</v>
      </c>
      <c r="H259" t="s">
        <v>83</v>
      </c>
      <c r="I259" t="s">
        <v>87</v>
      </c>
      <c r="J259">
        <v>800</v>
      </c>
      <c r="K259" t="str">
        <f>_xlfn.XLOOKUP(Sales_Data[[#This Row],[Product_ID]],products!A:A,products!B:B,"Not Found")</f>
        <v>Mouse</v>
      </c>
      <c r="L259" t="str">
        <f>_xlfn.XLOOKUP(Sales_Data[[#This Row],[Product_ID]],products!A:A,products!C:C,"Not Found")</f>
        <v>Accessories</v>
      </c>
      <c r="M259" t="str">
        <f>_xlfn.XLOOKUP(C259,customers!A:A,customers!B:B,"Not Found")</f>
        <v>Rohit Singh</v>
      </c>
      <c r="N259" t="str">
        <f>_xlfn.XLOOKUP(C258,customers!A:A,customers!C:C,"Not Found")</f>
        <v>Pune</v>
      </c>
      <c r="O259" t="str">
        <f>IF(Sales_Data[[#This Row],[Total_Sales]]&gt;=50000,"High","Low")</f>
        <v>Low</v>
      </c>
    </row>
    <row r="260" spans="1:15" x14ac:dyDescent="0.3">
      <c r="A260">
        <v>1259</v>
      </c>
      <c r="B260" s="4">
        <v>46070</v>
      </c>
      <c r="C260" t="s">
        <v>21</v>
      </c>
      <c r="D260" t="s">
        <v>66</v>
      </c>
      <c r="E260">
        <v>2</v>
      </c>
      <c r="F260">
        <v>30000</v>
      </c>
      <c r="G260" t="s">
        <v>80</v>
      </c>
      <c r="H260" t="s">
        <v>83</v>
      </c>
      <c r="I260" t="s">
        <v>77</v>
      </c>
      <c r="J260">
        <v>60000</v>
      </c>
      <c r="K260" t="str">
        <f>_xlfn.XLOOKUP(Sales_Data[[#This Row],[Product_ID]],products!A:A,products!B:B,"Not Found")</f>
        <v>Smartphone</v>
      </c>
      <c r="L260" t="str">
        <f>_xlfn.XLOOKUP(Sales_Data[[#This Row],[Product_ID]],products!A:A,products!C:C,"Not Found")</f>
        <v>Electronics</v>
      </c>
      <c r="M260" t="str">
        <f>_xlfn.XLOOKUP(C260,customers!A:A,customers!B:B,"Not Found")</f>
        <v>Karan Mehta</v>
      </c>
      <c r="N260" t="str">
        <f>_xlfn.XLOOKUP(C259,customers!A:A,customers!C:C,"Not Found")</f>
        <v>Delhi</v>
      </c>
      <c r="O260" t="str">
        <f>IF(Sales_Data[[#This Row],[Total_Sales]]&gt;=50000,"High","Low")</f>
        <v>High</v>
      </c>
    </row>
    <row r="261" spans="1:15" x14ac:dyDescent="0.3">
      <c r="A261">
        <v>1260</v>
      </c>
      <c r="B261" s="4">
        <v>46152</v>
      </c>
      <c r="C261" t="s">
        <v>27</v>
      </c>
      <c r="D261" t="s">
        <v>64</v>
      </c>
      <c r="E261">
        <v>1</v>
      </c>
      <c r="F261">
        <v>900</v>
      </c>
      <c r="G261" t="s">
        <v>89</v>
      </c>
      <c r="H261" t="s">
        <v>88</v>
      </c>
      <c r="I261" t="s">
        <v>77</v>
      </c>
      <c r="J261">
        <v>900</v>
      </c>
      <c r="K261" t="str">
        <f>_xlfn.XLOOKUP(Sales_Data[[#This Row],[Product_ID]],products!A:A,products!B:B,"Not Found")</f>
        <v>USB Drive</v>
      </c>
      <c r="L261" t="str">
        <f>_xlfn.XLOOKUP(Sales_Data[[#This Row],[Product_ID]],products!A:A,products!C:C,"Not Found")</f>
        <v>Accessories</v>
      </c>
      <c r="M261" t="str">
        <f>_xlfn.XLOOKUP(C261,customers!A:A,customers!B:B,"Not Found")</f>
        <v>Vikas Yadav</v>
      </c>
      <c r="N261" t="str">
        <f>_xlfn.XLOOKUP(C260,customers!A:A,customers!C:C,"Not Found")</f>
        <v>Bhopal</v>
      </c>
      <c r="O261" t="str">
        <f>IF(Sales_Data[[#This Row],[Total_Sales]]&gt;=50000,"High","Low")</f>
        <v>Low</v>
      </c>
    </row>
    <row r="262" spans="1:15" x14ac:dyDescent="0.3">
      <c r="A262">
        <v>1261</v>
      </c>
      <c r="B262" s="4">
        <v>46087</v>
      </c>
      <c r="C262" t="s">
        <v>18</v>
      </c>
      <c r="D262" t="s">
        <v>60</v>
      </c>
      <c r="E262">
        <v>1</v>
      </c>
      <c r="F262">
        <v>22000</v>
      </c>
      <c r="G262" t="s">
        <v>82</v>
      </c>
      <c r="H262" t="s">
        <v>79</v>
      </c>
      <c r="I262" t="s">
        <v>85</v>
      </c>
      <c r="J262">
        <v>22000</v>
      </c>
      <c r="K262" t="str">
        <f>_xlfn.XLOOKUP(Sales_Data[[#This Row],[Product_ID]],products!A:A,products!B:B,"Not Found")</f>
        <v>Tablet</v>
      </c>
      <c r="L262" t="str">
        <f>_xlfn.XLOOKUP(Sales_Data[[#This Row],[Product_ID]],products!A:A,products!C:C,"Not Found")</f>
        <v>Electronics</v>
      </c>
      <c r="M262" t="str">
        <f>_xlfn.XLOOKUP(C262,customers!A:A,customers!B:B,"Not Found")</f>
        <v>Neha Gupta</v>
      </c>
      <c r="N262" t="str">
        <f>_xlfn.XLOOKUP(C261,customers!A:A,customers!C:C,"Not Found")</f>
        <v>Thane</v>
      </c>
      <c r="O262" t="str">
        <f>IF(Sales_Data[[#This Row],[Total_Sales]]&gt;=50000,"High","Low")</f>
        <v>Low</v>
      </c>
    </row>
    <row r="263" spans="1:15" x14ac:dyDescent="0.3">
      <c r="A263">
        <v>1262</v>
      </c>
      <c r="B263" s="4">
        <v>46191</v>
      </c>
      <c r="C263" t="s">
        <v>34</v>
      </c>
      <c r="D263" t="s">
        <v>54</v>
      </c>
      <c r="E263">
        <v>2</v>
      </c>
      <c r="F263">
        <v>15000</v>
      </c>
      <c r="G263" t="s">
        <v>80</v>
      </c>
      <c r="H263" t="s">
        <v>83</v>
      </c>
      <c r="I263" t="s">
        <v>87</v>
      </c>
      <c r="J263">
        <v>30000</v>
      </c>
      <c r="K263" t="str">
        <f>_xlfn.XLOOKUP(Sales_Data[[#This Row],[Product_ID]],products!A:A,products!B:B,"Not Found")</f>
        <v>Monitor</v>
      </c>
      <c r="L263" t="str">
        <f>_xlfn.XLOOKUP(Sales_Data[[#This Row],[Product_ID]],products!A:A,products!C:C,"Not Found")</f>
        <v>Electronics</v>
      </c>
      <c r="M263" t="str">
        <f>_xlfn.XLOOKUP(C263,customers!A:A,customers!B:B,"Not Found")</f>
        <v>Riya Shah</v>
      </c>
      <c r="N263" t="str">
        <f>_xlfn.XLOOKUP(C262,customers!A:A,customers!C:C,"Not Found")</f>
        <v>Indore</v>
      </c>
      <c r="O263" t="str">
        <f>IF(Sales_Data[[#This Row],[Total_Sales]]&gt;=50000,"High","Low")</f>
        <v>Low</v>
      </c>
    </row>
    <row r="264" spans="1:15" x14ac:dyDescent="0.3">
      <c r="A264">
        <v>1263</v>
      </c>
      <c r="B264" s="4">
        <v>46162</v>
      </c>
      <c r="C264" t="s">
        <v>18</v>
      </c>
      <c r="D264" t="s">
        <v>46</v>
      </c>
      <c r="E264">
        <v>6</v>
      </c>
      <c r="F264">
        <v>55000</v>
      </c>
      <c r="G264" t="s">
        <v>86</v>
      </c>
      <c r="H264" t="s">
        <v>76</v>
      </c>
      <c r="I264" t="s">
        <v>81</v>
      </c>
      <c r="J264">
        <v>330000</v>
      </c>
      <c r="K264" t="str">
        <f>_xlfn.XLOOKUP(Sales_Data[[#This Row],[Product_ID]],products!A:A,products!B:B,"Not Found")</f>
        <v>Laptop</v>
      </c>
      <c r="L264" t="str">
        <f>_xlfn.XLOOKUP(Sales_Data[[#This Row],[Product_ID]],products!A:A,products!C:C,"Not Found")</f>
        <v>Electronics</v>
      </c>
      <c r="M264" t="str">
        <f>_xlfn.XLOOKUP(C264,customers!A:A,customers!B:B,"Not Found")</f>
        <v>Neha Gupta</v>
      </c>
      <c r="N264" t="str">
        <f>_xlfn.XLOOKUP(C263,customers!A:A,customers!C:C,"Not Found")</f>
        <v>Mumbai</v>
      </c>
      <c r="O264" t="str">
        <f>IF(Sales_Data[[#This Row],[Total_Sales]]&gt;=50000,"High","Low")</f>
        <v>High</v>
      </c>
    </row>
    <row r="265" spans="1:15" x14ac:dyDescent="0.3">
      <c r="A265">
        <v>1264</v>
      </c>
      <c r="B265" s="4">
        <v>46069</v>
      </c>
      <c r="C265" t="s">
        <v>32</v>
      </c>
      <c r="D265" t="s">
        <v>62</v>
      </c>
      <c r="E265">
        <v>3</v>
      </c>
      <c r="F265">
        <v>3000</v>
      </c>
      <c r="G265" t="s">
        <v>78</v>
      </c>
      <c r="H265" t="s">
        <v>88</v>
      </c>
      <c r="I265" t="s">
        <v>77</v>
      </c>
      <c r="J265">
        <v>9000</v>
      </c>
      <c r="K265" t="str">
        <f>_xlfn.XLOOKUP(Sales_Data[[#This Row],[Product_ID]],products!A:A,products!B:B,"Not Found")</f>
        <v>Webcam</v>
      </c>
      <c r="L265" t="str">
        <f>_xlfn.XLOOKUP(Sales_Data[[#This Row],[Product_ID]],products!A:A,products!C:C,"Not Found")</f>
        <v>Accessories</v>
      </c>
      <c r="M265" t="str">
        <f>_xlfn.XLOOKUP(C265,customers!A:A,customers!B:B,"Not Found")</f>
        <v>Sahil Khan</v>
      </c>
      <c r="N265" t="str">
        <f>_xlfn.XLOOKUP(C264,customers!A:A,customers!C:C,"Not Found")</f>
        <v>Indore</v>
      </c>
      <c r="O265" t="str">
        <f>IF(Sales_Data[[#This Row],[Total_Sales]]&gt;=50000,"High","Low")</f>
        <v>Low</v>
      </c>
    </row>
    <row r="266" spans="1:15" x14ac:dyDescent="0.3">
      <c r="A266">
        <v>1265</v>
      </c>
      <c r="B266" s="4">
        <v>46034</v>
      </c>
      <c r="C266" t="s">
        <v>12</v>
      </c>
      <c r="D266" t="s">
        <v>56</v>
      </c>
      <c r="E266">
        <v>4</v>
      </c>
      <c r="F266">
        <v>3500</v>
      </c>
      <c r="G266" t="s">
        <v>78</v>
      </c>
      <c r="H266" t="s">
        <v>83</v>
      </c>
      <c r="I266" t="s">
        <v>85</v>
      </c>
      <c r="J266">
        <v>14000</v>
      </c>
      <c r="K266" t="str">
        <f>_xlfn.XLOOKUP(Sales_Data[[#This Row],[Product_ID]],products!A:A,products!B:B,"Not Found")</f>
        <v>Headphones</v>
      </c>
      <c r="L266" t="str">
        <f>_xlfn.XLOOKUP(Sales_Data[[#This Row],[Product_ID]],products!A:A,products!C:C,"Not Found")</f>
        <v>Accessories</v>
      </c>
      <c r="M266" t="str">
        <f>_xlfn.XLOOKUP(C266,customers!A:A,customers!B:B,"Not Found")</f>
        <v>Sneha Joshi</v>
      </c>
      <c r="N266" t="str">
        <f>_xlfn.XLOOKUP(C265,customers!A:A,customers!C:C,"Not Found")</f>
        <v>Pune</v>
      </c>
      <c r="O266" t="str">
        <f>IF(Sales_Data[[#This Row],[Total_Sales]]&gt;=50000,"High","Low")</f>
        <v>Low</v>
      </c>
    </row>
    <row r="267" spans="1:15" x14ac:dyDescent="0.3">
      <c r="A267">
        <v>1266</v>
      </c>
      <c r="B267" s="4">
        <v>46162</v>
      </c>
      <c r="C267" t="s">
        <v>21</v>
      </c>
      <c r="D267" t="s">
        <v>64</v>
      </c>
      <c r="E267">
        <v>8</v>
      </c>
      <c r="F267">
        <v>900</v>
      </c>
      <c r="G267" t="s">
        <v>82</v>
      </c>
      <c r="H267" t="s">
        <v>79</v>
      </c>
      <c r="I267" t="s">
        <v>87</v>
      </c>
      <c r="J267">
        <v>7200</v>
      </c>
      <c r="K267" t="str">
        <f>_xlfn.XLOOKUP(Sales_Data[[#This Row],[Product_ID]],products!A:A,products!B:B,"Not Found")</f>
        <v>USB Drive</v>
      </c>
      <c r="L267" t="str">
        <f>_xlfn.XLOOKUP(Sales_Data[[#This Row],[Product_ID]],products!A:A,products!C:C,"Not Found")</f>
        <v>Accessories</v>
      </c>
      <c r="M267" t="str">
        <f>_xlfn.XLOOKUP(C267,customers!A:A,customers!B:B,"Not Found")</f>
        <v>Karan Mehta</v>
      </c>
      <c r="N267" t="str">
        <f>_xlfn.XLOOKUP(C266,customers!A:A,customers!C:C,"Not Found")</f>
        <v>Nashik</v>
      </c>
      <c r="O267" t="str">
        <f>IF(Sales_Data[[#This Row],[Total_Sales]]&gt;=50000,"High","Low")</f>
        <v>Low</v>
      </c>
    </row>
    <row r="268" spans="1:15" x14ac:dyDescent="0.3">
      <c r="A268">
        <v>1267</v>
      </c>
      <c r="B268" s="4">
        <v>46035</v>
      </c>
      <c r="C268" t="s">
        <v>18</v>
      </c>
      <c r="D268" t="s">
        <v>56</v>
      </c>
      <c r="E268">
        <v>6</v>
      </c>
      <c r="F268">
        <v>3500</v>
      </c>
      <c r="G268" t="s">
        <v>82</v>
      </c>
      <c r="H268" t="s">
        <v>79</v>
      </c>
      <c r="I268" t="s">
        <v>85</v>
      </c>
      <c r="J268">
        <v>21000</v>
      </c>
      <c r="K268" t="str">
        <f>_xlfn.XLOOKUP(Sales_Data[[#This Row],[Product_ID]],products!A:A,products!B:B,"Not Found")</f>
        <v>Headphones</v>
      </c>
      <c r="L268" t="str">
        <f>_xlfn.XLOOKUP(Sales_Data[[#This Row],[Product_ID]],products!A:A,products!C:C,"Not Found")</f>
        <v>Accessories</v>
      </c>
      <c r="M268" t="str">
        <f>_xlfn.XLOOKUP(C268,customers!A:A,customers!B:B,"Not Found")</f>
        <v>Neha Gupta</v>
      </c>
      <c r="N268" t="str">
        <f>_xlfn.XLOOKUP(C267,customers!A:A,customers!C:C,"Not Found")</f>
        <v>Bhopal</v>
      </c>
      <c r="O268" t="str">
        <f>IF(Sales_Data[[#This Row],[Total_Sales]]&gt;=50000,"High","Low")</f>
        <v>Low</v>
      </c>
    </row>
    <row r="269" spans="1:15" x14ac:dyDescent="0.3">
      <c r="A269">
        <v>1268</v>
      </c>
      <c r="B269" s="4">
        <v>46125</v>
      </c>
      <c r="C269" t="s">
        <v>40</v>
      </c>
      <c r="D269" t="s">
        <v>60</v>
      </c>
      <c r="E269">
        <v>8</v>
      </c>
      <c r="F269">
        <v>22000</v>
      </c>
      <c r="G269" t="s">
        <v>89</v>
      </c>
      <c r="H269" t="s">
        <v>83</v>
      </c>
      <c r="I269" t="s">
        <v>87</v>
      </c>
      <c r="J269">
        <v>176000</v>
      </c>
      <c r="K269" t="str">
        <f>_xlfn.XLOOKUP(Sales_Data[[#This Row],[Product_ID]],products!A:A,products!B:B,"Not Found")</f>
        <v>Tablet</v>
      </c>
      <c r="L269" t="str">
        <f>_xlfn.XLOOKUP(Sales_Data[[#This Row],[Product_ID]],products!A:A,products!C:C,"Not Found")</f>
        <v>Electronics</v>
      </c>
      <c r="M269" t="str">
        <f>_xlfn.XLOOKUP(C269,customers!A:A,customers!B:B,"Not Found")</f>
        <v>Nitin More</v>
      </c>
      <c r="N269" t="str">
        <f>_xlfn.XLOOKUP(C268,customers!A:A,customers!C:C,"Not Found")</f>
        <v>Indore</v>
      </c>
      <c r="O269" t="str">
        <f>IF(Sales_Data[[#This Row],[Total_Sales]]&gt;=50000,"High","Low")</f>
        <v>High</v>
      </c>
    </row>
    <row r="270" spans="1:15" x14ac:dyDescent="0.3">
      <c r="A270">
        <v>1269</v>
      </c>
      <c r="B270" s="4">
        <v>46150</v>
      </c>
      <c r="C270" t="s">
        <v>34</v>
      </c>
      <c r="D270" t="s">
        <v>62</v>
      </c>
      <c r="E270">
        <v>6</v>
      </c>
      <c r="F270">
        <v>3000</v>
      </c>
      <c r="G270" t="s">
        <v>80</v>
      </c>
      <c r="H270" t="s">
        <v>83</v>
      </c>
      <c r="I270" t="s">
        <v>77</v>
      </c>
      <c r="J270">
        <v>18000</v>
      </c>
      <c r="K270" t="str">
        <f>_xlfn.XLOOKUP(Sales_Data[[#This Row],[Product_ID]],products!A:A,products!B:B,"Not Found")</f>
        <v>Webcam</v>
      </c>
      <c r="L270" t="str">
        <f>_xlfn.XLOOKUP(Sales_Data[[#This Row],[Product_ID]],products!A:A,products!C:C,"Not Found")</f>
        <v>Accessories</v>
      </c>
      <c r="M270" t="str">
        <f>_xlfn.XLOOKUP(C270,customers!A:A,customers!B:B,"Not Found")</f>
        <v>Riya Shah</v>
      </c>
      <c r="N270" t="str">
        <f>_xlfn.XLOOKUP(C269,customers!A:A,customers!C:C,"Not Found")</f>
        <v>Nagpur</v>
      </c>
      <c r="O270" t="str">
        <f>IF(Sales_Data[[#This Row],[Total_Sales]]&gt;=50000,"High","Low")</f>
        <v>Low</v>
      </c>
    </row>
    <row r="271" spans="1:15" x14ac:dyDescent="0.3">
      <c r="A271">
        <v>1270</v>
      </c>
      <c r="B271" s="4">
        <v>46133</v>
      </c>
      <c r="C271" t="s">
        <v>6</v>
      </c>
      <c r="D271" t="s">
        <v>60</v>
      </c>
      <c r="E271">
        <v>3</v>
      </c>
      <c r="F271">
        <v>22000</v>
      </c>
      <c r="G271" t="s">
        <v>80</v>
      </c>
      <c r="H271" t="s">
        <v>83</v>
      </c>
      <c r="I271" t="s">
        <v>85</v>
      </c>
      <c r="J271">
        <v>66000</v>
      </c>
      <c r="K271" t="str">
        <f>_xlfn.XLOOKUP(Sales_Data[[#This Row],[Product_ID]],products!A:A,products!B:B,"Not Found")</f>
        <v>Tablet</v>
      </c>
      <c r="L271" t="str">
        <f>_xlfn.XLOOKUP(Sales_Data[[#This Row],[Product_ID]],products!A:A,products!C:C,"Not Found")</f>
        <v>Electronics</v>
      </c>
      <c r="M271" t="str">
        <f>_xlfn.XLOOKUP(C271,customers!A:A,customers!B:B,"Not Found")</f>
        <v>Priya Patil</v>
      </c>
      <c r="N271" t="str">
        <f>_xlfn.XLOOKUP(C270,customers!A:A,customers!C:C,"Not Found")</f>
        <v>Mumbai</v>
      </c>
      <c r="O271" t="str">
        <f>IF(Sales_Data[[#This Row],[Total_Sales]]&gt;=50000,"High","Low")</f>
        <v>High</v>
      </c>
    </row>
    <row r="272" spans="1:15" x14ac:dyDescent="0.3">
      <c r="A272">
        <v>1271</v>
      </c>
      <c r="B272" s="4">
        <v>46106</v>
      </c>
      <c r="C272" t="s">
        <v>6</v>
      </c>
      <c r="D272" t="s">
        <v>49</v>
      </c>
      <c r="E272">
        <v>5</v>
      </c>
      <c r="F272">
        <v>2500</v>
      </c>
      <c r="G272" t="s">
        <v>82</v>
      </c>
      <c r="H272" t="s">
        <v>88</v>
      </c>
      <c r="I272" t="s">
        <v>81</v>
      </c>
      <c r="J272">
        <v>12500</v>
      </c>
      <c r="K272" t="str">
        <f>_xlfn.XLOOKUP(Sales_Data[[#This Row],[Product_ID]],products!A:A,products!B:B,"Not Found")</f>
        <v>Keyboard</v>
      </c>
      <c r="L272" t="str">
        <f>_xlfn.XLOOKUP(Sales_Data[[#This Row],[Product_ID]],products!A:A,products!C:C,"Not Found")</f>
        <v>Accessories</v>
      </c>
      <c r="M272" t="str">
        <f>_xlfn.XLOOKUP(C272,customers!A:A,customers!B:B,"Not Found")</f>
        <v>Priya Patil</v>
      </c>
      <c r="N272" t="str">
        <f>_xlfn.XLOOKUP(C271,customers!A:A,customers!C:C,"Not Found")</f>
        <v>Pune</v>
      </c>
      <c r="O272" t="str">
        <f>IF(Sales_Data[[#This Row],[Total_Sales]]&gt;=50000,"High","Low")</f>
        <v>Low</v>
      </c>
    </row>
    <row r="273" spans="1:15" x14ac:dyDescent="0.3">
      <c r="A273">
        <v>1272</v>
      </c>
      <c r="B273" s="4">
        <v>46136</v>
      </c>
      <c r="C273" t="s">
        <v>34</v>
      </c>
      <c r="D273" t="s">
        <v>52</v>
      </c>
      <c r="E273">
        <v>6</v>
      </c>
      <c r="F273">
        <v>800</v>
      </c>
      <c r="G273" t="s">
        <v>89</v>
      </c>
      <c r="H273" t="s">
        <v>79</v>
      </c>
      <c r="I273" t="s">
        <v>85</v>
      </c>
      <c r="J273">
        <v>4800</v>
      </c>
      <c r="K273" t="str">
        <f>_xlfn.XLOOKUP(Sales_Data[[#This Row],[Product_ID]],products!A:A,products!B:B,"Not Found")</f>
        <v>Mouse</v>
      </c>
      <c r="L273" t="str">
        <f>_xlfn.XLOOKUP(Sales_Data[[#This Row],[Product_ID]],products!A:A,products!C:C,"Not Found")</f>
        <v>Accessories</v>
      </c>
      <c r="M273" t="str">
        <f>_xlfn.XLOOKUP(C273,customers!A:A,customers!B:B,"Not Found")</f>
        <v>Riya Shah</v>
      </c>
      <c r="N273" t="str">
        <f>_xlfn.XLOOKUP(C272,customers!A:A,customers!C:C,"Not Found")</f>
        <v>Pune</v>
      </c>
      <c r="O273" t="str">
        <f>IF(Sales_Data[[#This Row],[Total_Sales]]&gt;=50000,"High","Low")</f>
        <v>Low</v>
      </c>
    </row>
    <row r="274" spans="1:15" x14ac:dyDescent="0.3">
      <c r="A274">
        <v>1273</v>
      </c>
      <c r="B274" s="4">
        <v>46093</v>
      </c>
      <c r="C274" t="s">
        <v>21</v>
      </c>
      <c r="D274" t="s">
        <v>66</v>
      </c>
      <c r="E274">
        <v>1</v>
      </c>
      <c r="F274">
        <v>30000</v>
      </c>
      <c r="G274" t="s">
        <v>78</v>
      </c>
      <c r="H274" t="s">
        <v>88</v>
      </c>
      <c r="I274" t="s">
        <v>85</v>
      </c>
      <c r="J274">
        <v>30000</v>
      </c>
      <c r="K274" t="str">
        <f>_xlfn.XLOOKUP(Sales_Data[[#This Row],[Product_ID]],products!A:A,products!B:B,"Not Found")</f>
        <v>Smartphone</v>
      </c>
      <c r="L274" t="str">
        <f>_xlfn.XLOOKUP(Sales_Data[[#This Row],[Product_ID]],products!A:A,products!C:C,"Not Found")</f>
        <v>Electronics</v>
      </c>
      <c r="M274" t="str">
        <f>_xlfn.XLOOKUP(C274,customers!A:A,customers!B:B,"Not Found")</f>
        <v>Karan Mehta</v>
      </c>
      <c r="N274" t="str">
        <f>_xlfn.XLOOKUP(C273,customers!A:A,customers!C:C,"Not Found")</f>
        <v>Mumbai</v>
      </c>
      <c r="O274" t="str">
        <f>IF(Sales_Data[[#This Row],[Total_Sales]]&gt;=50000,"High","Low")</f>
        <v>Low</v>
      </c>
    </row>
    <row r="275" spans="1:15" x14ac:dyDescent="0.3">
      <c r="A275">
        <v>1274</v>
      </c>
      <c r="B275" s="4">
        <v>46196</v>
      </c>
      <c r="C275" t="s">
        <v>36</v>
      </c>
      <c r="D275" t="s">
        <v>64</v>
      </c>
      <c r="E275">
        <v>3</v>
      </c>
      <c r="F275">
        <v>900</v>
      </c>
      <c r="G275" t="s">
        <v>78</v>
      </c>
      <c r="H275" t="s">
        <v>76</v>
      </c>
      <c r="I275" t="s">
        <v>81</v>
      </c>
      <c r="J275">
        <v>2700</v>
      </c>
      <c r="K275" t="str">
        <f>_xlfn.XLOOKUP(Sales_Data[[#This Row],[Product_ID]],products!A:A,products!B:B,"Not Found")</f>
        <v>USB Drive</v>
      </c>
      <c r="L275" t="str">
        <f>_xlfn.XLOOKUP(Sales_Data[[#This Row],[Product_ID]],products!A:A,products!C:C,"Not Found")</f>
        <v>Accessories</v>
      </c>
      <c r="M275" t="str">
        <f>_xlfn.XLOOKUP(C275,customers!A:A,customers!B:B,"Not Found")</f>
        <v>Akash Jain</v>
      </c>
      <c r="N275" t="str">
        <f>_xlfn.XLOOKUP(C274,customers!A:A,customers!C:C,"Not Found")</f>
        <v>Bhopal</v>
      </c>
      <c r="O275" t="str">
        <f>IF(Sales_Data[[#This Row],[Total_Sales]]&gt;=50000,"High","Low")</f>
        <v>Low</v>
      </c>
    </row>
    <row r="276" spans="1:15" x14ac:dyDescent="0.3">
      <c r="A276">
        <v>1275</v>
      </c>
      <c r="B276" s="4">
        <v>46040</v>
      </c>
      <c r="C276" t="s">
        <v>9</v>
      </c>
      <c r="D276" t="s">
        <v>46</v>
      </c>
      <c r="E276">
        <v>4</v>
      </c>
      <c r="F276">
        <v>55000</v>
      </c>
      <c r="G276" t="s">
        <v>86</v>
      </c>
      <c r="H276" t="s">
        <v>83</v>
      </c>
      <c r="I276" t="s">
        <v>85</v>
      </c>
      <c r="J276">
        <v>220000</v>
      </c>
      <c r="K276" t="str">
        <f>_xlfn.XLOOKUP(Sales_Data[[#This Row],[Product_ID]],products!A:A,products!B:B,"Not Found")</f>
        <v>Laptop</v>
      </c>
      <c r="L276" t="str">
        <f>_xlfn.XLOOKUP(Sales_Data[[#This Row],[Product_ID]],products!A:A,products!C:C,"Not Found")</f>
        <v>Electronics</v>
      </c>
      <c r="M276" t="str">
        <f>_xlfn.XLOOKUP(C276,customers!A:A,customers!B:B,"Not Found")</f>
        <v>Amit Verma</v>
      </c>
      <c r="N276" t="str">
        <f>_xlfn.XLOOKUP(C275,customers!A:A,customers!C:C,"Not Found")</f>
        <v>Nashik</v>
      </c>
      <c r="O276" t="str">
        <f>IF(Sales_Data[[#This Row],[Total_Sales]]&gt;=50000,"High","Low")</f>
        <v>High</v>
      </c>
    </row>
    <row r="277" spans="1:15" x14ac:dyDescent="0.3">
      <c r="A277">
        <v>1276</v>
      </c>
      <c r="B277" s="4">
        <v>46031</v>
      </c>
      <c r="C277" t="s">
        <v>30</v>
      </c>
      <c r="D277" t="s">
        <v>60</v>
      </c>
      <c r="E277">
        <v>3</v>
      </c>
      <c r="F277">
        <v>22000</v>
      </c>
      <c r="G277" t="s">
        <v>86</v>
      </c>
      <c r="H277" t="s">
        <v>88</v>
      </c>
      <c r="I277" t="s">
        <v>85</v>
      </c>
      <c r="J277">
        <v>66000</v>
      </c>
      <c r="K277" t="str">
        <f>_xlfn.XLOOKUP(Sales_Data[[#This Row],[Product_ID]],products!A:A,products!B:B,"Not Found")</f>
        <v>Tablet</v>
      </c>
      <c r="L277" t="str">
        <f>_xlfn.XLOOKUP(Sales_Data[[#This Row],[Product_ID]],products!A:A,products!C:C,"Not Found")</f>
        <v>Electronics</v>
      </c>
      <c r="M277" t="str">
        <f>_xlfn.XLOOKUP(C277,customers!A:A,customers!B:B,"Not Found")</f>
        <v>Anjali Kulkarni</v>
      </c>
      <c r="N277" t="str">
        <f>_xlfn.XLOOKUP(C276,customers!A:A,customers!C:C,"Not Found")</f>
        <v>Mumbai</v>
      </c>
      <c r="O277" t="str">
        <f>IF(Sales_Data[[#This Row],[Total_Sales]]&gt;=50000,"High","Low")</f>
        <v>High</v>
      </c>
    </row>
    <row r="278" spans="1:15" x14ac:dyDescent="0.3">
      <c r="A278">
        <v>1277</v>
      </c>
      <c r="B278" s="4">
        <v>46042</v>
      </c>
      <c r="C278" t="s">
        <v>24</v>
      </c>
      <c r="D278" t="s">
        <v>58</v>
      </c>
      <c r="E278">
        <v>3</v>
      </c>
      <c r="F278">
        <v>12000</v>
      </c>
      <c r="G278" t="s">
        <v>80</v>
      </c>
      <c r="H278" t="s">
        <v>83</v>
      </c>
      <c r="I278" t="s">
        <v>81</v>
      </c>
      <c r="J278">
        <v>36000</v>
      </c>
      <c r="K278" t="str">
        <f>_xlfn.XLOOKUP(Sales_Data[[#This Row],[Product_ID]],products!A:A,products!B:B,"Not Found")</f>
        <v>Printer</v>
      </c>
      <c r="L278" t="str">
        <f>_xlfn.XLOOKUP(Sales_Data[[#This Row],[Product_ID]],products!A:A,products!C:C,"Not Found")</f>
        <v>Electronics</v>
      </c>
      <c r="M278" t="str">
        <f>_xlfn.XLOOKUP(C278,customers!A:A,customers!B:B,"Not Found")</f>
        <v>Pooja Deshmukh</v>
      </c>
      <c r="N278" t="str">
        <f>_xlfn.XLOOKUP(C277,customers!A:A,customers!C:C,"Not Found")</f>
        <v>Nagpur</v>
      </c>
      <c r="O278" t="str">
        <f>IF(Sales_Data[[#This Row],[Total_Sales]]&gt;=50000,"High","Low")</f>
        <v>Low</v>
      </c>
    </row>
    <row r="279" spans="1:15" x14ac:dyDescent="0.3">
      <c r="A279">
        <v>1278</v>
      </c>
      <c r="B279" s="4">
        <v>46094</v>
      </c>
      <c r="C279" t="s">
        <v>32</v>
      </c>
      <c r="D279" t="s">
        <v>58</v>
      </c>
      <c r="E279">
        <v>4</v>
      </c>
      <c r="F279">
        <v>12000</v>
      </c>
      <c r="G279" t="s">
        <v>78</v>
      </c>
      <c r="H279" t="s">
        <v>79</v>
      </c>
      <c r="I279" t="s">
        <v>87</v>
      </c>
      <c r="J279">
        <v>48000</v>
      </c>
      <c r="K279" t="str">
        <f>_xlfn.XLOOKUP(Sales_Data[[#This Row],[Product_ID]],products!A:A,products!B:B,"Not Found")</f>
        <v>Printer</v>
      </c>
      <c r="L279" t="str">
        <f>_xlfn.XLOOKUP(Sales_Data[[#This Row],[Product_ID]],products!A:A,products!C:C,"Not Found")</f>
        <v>Electronics</v>
      </c>
      <c r="M279" t="str">
        <f>_xlfn.XLOOKUP(C279,customers!A:A,customers!B:B,"Not Found")</f>
        <v>Sahil Khan</v>
      </c>
      <c r="N279" t="str">
        <f>_xlfn.XLOOKUP(C278,customers!A:A,customers!C:C,"Not Found")</f>
        <v>Aurangabad</v>
      </c>
      <c r="O279" t="str">
        <f>IF(Sales_Data[[#This Row],[Total_Sales]]&gt;=50000,"High","Low")</f>
        <v>Low</v>
      </c>
    </row>
    <row r="280" spans="1:15" x14ac:dyDescent="0.3">
      <c r="A280">
        <v>1279</v>
      </c>
      <c r="B280" s="4">
        <v>46122</v>
      </c>
      <c r="C280" t="s">
        <v>27</v>
      </c>
      <c r="D280" t="s">
        <v>62</v>
      </c>
      <c r="E280">
        <v>2</v>
      </c>
      <c r="F280">
        <v>3000</v>
      </c>
      <c r="G280" t="s">
        <v>82</v>
      </c>
      <c r="H280" t="s">
        <v>83</v>
      </c>
      <c r="I280" t="s">
        <v>81</v>
      </c>
      <c r="J280">
        <v>6000</v>
      </c>
      <c r="K280" t="str">
        <f>_xlfn.XLOOKUP(Sales_Data[[#This Row],[Product_ID]],products!A:A,products!B:B,"Not Found")</f>
        <v>Webcam</v>
      </c>
      <c r="L280" t="str">
        <f>_xlfn.XLOOKUP(Sales_Data[[#This Row],[Product_ID]],products!A:A,products!C:C,"Not Found")</f>
        <v>Accessories</v>
      </c>
      <c r="M280" t="str">
        <f>_xlfn.XLOOKUP(C280,customers!A:A,customers!B:B,"Not Found")</f>
        <v>Vikas Yadav</v>
      </c>
      <c r="N280" t="str">
        <f>_xlfn.XLOOKUP(C279,customers!A:A,customers!C:C,"Not Found")</f>
        <v>Pune</v>
      </c>
      <c r="O280" t="str">
        <f>IF(Sales_Data[[#This Row],[Total_Sales]]&gt;=50000,"High","Low")</f>
        <v>Low</v>
      </c>
    </row>
    <row r="281" spans="1:15" x14ac:dyDescent="0.3">
      <c r="A281">
        <v>1280</v>
      </c>
      <c r="B281" s="4">
        <v>46096</v>
      </c>
      <c r="C281" t="s">
        <v>30</v>
      </c>
      <c r="D281" t="s">
        <v>54</v>
      </c>
      <c r="E281">
        <v>8</v>
      </c>
      <c r="F281">
        <v>15000</v>
      </c>
      <c r="G281" t="s">
        <v>75</v>
      </c>
      <c r="H281" t="s">
        <v>79</v>
      </c>
      <c r="I281" t="s">
        <v>87</v>
      </c>
      <c r="J281">
        <v>120000</v>
      </c>
      <c r="K281" t="str">
        <f>_xlfn.XLOOKUP(Sales_Data[[#This Row],[Product_ID]],products!A:A,products!B:B,"Not Found")</f>
        <v>Monitor</v>
      </c>
      <c r="L281" t="str">
        <f>_xlfn.XLOOKUP(Sales_Data[[#This Row],[Product_ID]],products!A:A,products!C:C,"Not Found")</f>
        <v>Electronics</v>
      </c>
      <c r="M281" t="str">
        <f>_xlfn.XLOOKUP(C281,customers!A:A,customers!B:B,"Not Found")</f>
        <v>Anjali Kulkarni</v>
      </c>
      <c r="N281" t="str">
        <f>_xlfn.XLOOKUP(C280,customers!A:A,customers!C:C,"Not Found")</f>
        <v>Thane</v>
      </c>
      <c r="O281" t="str">
        <f>IF(Sales_Data[[#This Row],[Total_Sales]]&gt;=50000,"High","Low")</f>
        <v>High</v>
      </c>
    </row>
    <row r="282" spans="1:15" x14ac:dyDescent="0.3">
      <c r="A282">
        <v>1281</v>
      </c>
      <c r="B282" s="4">
        <v>46067</v>
      </c>
      <c r="C282" t="s">
        <v>24</v>
      </c>
      <c r="D282" t="s">
        <v>49</v>
      </c>
      <c r="E282">
        <v>8</v>
      </c>
      <c r="F282">
        <v>2500</v>
      </c>
      <c r="G282" t="s">
        <v>78</v>
      </c>
      <c r="H282" t="s">
        <v>83</v>
      </c>
      <c r="I282" t="s">
        <v>85</v>
      </c>
      <c r="J282">
        <v>20000</v>
      </c>
      <c r="K282" t="str">
        <f>_xlfn.XLOOKUP(Sales_Data[[#This Row],[Product_ID]],products!A:A,products!B:B,"Not Found")</f>
        <v>Keyboard</v>
      </c>
      <c r="L282" t="str">
        <f>_xlfn.XLOOKUP(Sales_Data[[#This Row],[Product_ID]],products!A:A,products!C:C,"Not Found")</f>
        <v>Accessories</v>
      </c>
      <c r="M282" t="str">
        <f>_xlfn.XLOOKUP(C282,customers!A:A,customers!B:B,"Not Found")</f>
        <v>Pooja Deshmukh</v>
      </c>
      <c r="N282" t="str">
        <f>_xlfn.XLOOKUP(C281,customers!A:A,customers!C:C,"Not Found")</f>
        <v>Nagpur</v>
      </c>
      <c r="O282" t="str">
        <f>IF(Sales_Data[[#This Row],[Total_Sales]]&gt;=50000,"High","Low")</f>
        <v>Low</v>
      </c>
    </row>
    <row r="283" spans="1:15" x14ac:dyDescent="0.3">
      <c r="A283">
        <v>1282</v>
      </c>
      <c r="B283" s="4">
        <v>46161</v>
      </c>
      <c r="C283" t="s">
        <v>27</v>
      </c>
      <c r="D283" t="s">
        <v>49</v>
      </c>
      <c r="E283">
        <v>5</v>
      </c>
      <c r="F283">
        <v>2500</v>
      </c>
      <c r="G283" t="s">
        <v>82</v>
      </c>
      <c r="H283" t="s">
        <v>76</v>
      </c>
      <c r="I283" t="s">
        <v>87</v>
      </c>
      <c r="J283">
        <v>12500</v>
      </c>
      <c r="K283" t="str">
        <f>_xlfn.XLOOKUP(Sales_Data[[#This Row],[Product_ID]],products!A:A,products!B:B,"Not Found")</f>
        <v>Keyboard</v>
      </c>
      <c r="L283" t="str">
        <f>_xlfn.XLOOKUP(Sales_Data[[#This Row],[Product_ID]],products!A:A,products!C:C,"Not Found")</f>
        <v>Accessories</v>
      </c>
      <c r="M283" t="str">
        <f>_xlfn.XLOOKUP(C283,customers!A:A,customers!B:B,"Not Found")</f>
        <v>Vikas Yadav</v>
      </c>
      <c r="N283" t="str">
        <f>_xlfn.XLOOKUP(C282,customers!A:A,customers!C:C,"Not Found")</f>
        <v>Aurangabad</v>
      </c>
      <c r="O283" t="str">
        <f>IF(Sales_Data[[#This Row],[Total_Sales]]&gt;=50000,"High","Low")</f>
        <v>Low</v>
      </c>
    </row>
    <row r="284" spans="1:15" x14ac:dyDescent="0.3">
      <c r="A284">
        <v>1283</v>
      </c>
      <c r="B284" s="4">
        <v>46080</v>
      </c>
      <c r="C284" t="s">
        <v>27</v>
      </c>
      <c r="D284" t="s">
        <v>58</v>
      </c>
      <c r="E284">
        <v>2</v>
      </c>
      <c r="F284">
        <v>12000</v>
      </c>
      <c r="G284" t="s">
        <v>75</v>
      </c>
      <c r="H284" t="s">
        <v>76</v>
      </c>
      <c r="I284" t="s">
        <v>87</v>
      </c>
      <c r="J284">
        <v>24000</v>
      </c>
      <c r="K284" t="str">
        <f>_xlfn.XLOOKUP(Sales_Data[[#This Row],[Product_ID]],products!A:A,products!B:B,"Not Found")</f>
        <v>Printer</v>
      </c>
      <c r="L284" t="str">
        <f>_xlfn.XLOOKUP(Sales_Data[[#This Row],[Product_ID]],products!A:A,products!C:C,"Not Found")</f>
        <v>Electronics</v>
      </c>
      <c r="M284" t="str">
        <f>_xlfn.XLOOKUP(C284,customers!A:A,customers!B:B,"Not Found")</f>
        <v>Vikas Yadav</v>
      </c>
      <c r="N284" t="str">
        <f>_xlfn.XLOOKUP(C283,customers!A:A,customers!C:C,"Not Found")</f>
        <v>Thane</v>
      </c>
      <c r="O284" t="str">
        <f>IF(Sales_Data[[#This Row],[Total_Sales]]&gt;=50000,"High","Low")</f>
        <v>Low</v>
      </c>
    </row>
    <row r="285" spans="1:15" x14ac:dyDescent="0.3">
      <c r="A285">
        <v>1284</v>
      </c>
      <c r="B285" s="4">
        <v>46115</v>
      </c>
      <c r="C285" t="s">
        <v>3</v>
      </c>
      <c r="D285" t="s">
        <v>62</v>
      </c>
      <c r="E285">
        <v>6</v>
      </c>
      <c r="F285">
        <v>3000</v>
      </c>
      <c r="G285" t="s">
        <v>89</v>
      </c>
      <c r="H285" t="s">
        <v>84</v>
      </c>
      <c r="I285" t="s">
        <v>87</v>
      </c>
      <c r="J285">
        <v>18000</v>
      </c>
      <c r="K285" t="str">
        <f>_xlfn.XLOOKUP(Sales_Data[[#This Row],[Product_ID]],products!A:A,products!B:B,"Not Found")</f>
        <v>Webcam</v>
      </c>
      <c r="L285" t="str">
        <f>_xlfn.XLOOKUP(Sales_Data[[#This Row],[Product_ID]],products!A:A,products!C:C,"Not Found")</f>
        <v>Accessories</v>
      </c>
      <c r="M285" t="str">
        <f>_xlfn.XLOOKUP(C285,customers!A:A,customers!B:B,"Not Found")</f>
        <v>Rahul Sharma</v>
      </c>
      <c r="N285" t="str">
        <f>_xlfn.XLOOKUP(C284,customers!A:A,customers!C:C,"Not Found")</f>
        <v>Thane</v>
      </c>
      <c r="O285" t="str">
        <f>IF(Sales_Data[[#This Row],[Total_Sales]]&gt;=50000,"High","Low")</f>
        <v>Low</v>
      </c>
    </row>
    <row r="286" spans="1:15" x14ac:dyDescent="0.3">
      <c r="A286">
        <v>1285</v>
      </c>
      <c r="B286" s="4">
        <v>46045</v>
      </c>
      <c r="C286" t="s">
        <v>40</v>
      </c>
      <c r="D286" t="s">
        <v>66</v>
      </c>
      <c r="E286">
        <v>2</v>
      </c>
      <c r="F286">
        <v>30000</v>
      </c>
      <c r="G286" t="s">
        <v>82</v>
      </c>
      <c r="H286" t="s">
        <v>88</v>
      </c>
      <c r="I286" t="s">
        <v>81</v>
      </c>
      <c r="J286">
        <v>60000</v>
      </c>
      <c r="K286" t="str">
        <f>_xlfn.XLOOKUP(Sales_Data[[#This Row],[Product_ID]],products!A:A,products!B:B,"Not Found")</f>
        <v>Smartphone</v>
      </c>
      <c r="L286" t="str">
        <f>_xlfn.XLOOKUP(Sales_Data[[#This Row],[Product_ID]],products!A:A,products!C:C,"Not Found")</f>
        <v>Electronics</v>
      </c>
      <c r="M286" t="str">
        <f>_xlfn.XLOOKUP(C286,customers!A:A,customers!B:B,"Not Found")</f>
        <v>Nitin More</v>
      </c>
      <c r="N286" t="str">
        <f>_xlfn.XLOOKUP(C285,customers!A:A,customers!C:C,"Not Found")</f>
        <v>Nagpur</v>
      </c>
      <c r="O286" t="str">
        <f>IF(Sales_Data[[#This Row],[Total_Sales]]&gt;=50000,"High","Low")</f>
        <v>High</v>
      </c>
    </row>
    <row r="287" spans="1:15" x14ac:dyDescent="0.3">
      <c r="A287">
        <v>1286</v>
      </c>
      <c r="B287" s="4">
        <v>46127</v>
      </c>
      <c r="C287" t="s">
        <v>21</v>
      </c>
      <c r="D287" t="s">
        <v>64</v>
      </c>
      <c r="E287">
        <v>2</v>
      </c>
      <c r="F287">
        <v>900</v>
      </c>
      <c r="G287" t="s">
        <v>75</v>
      </c>
      <c r="H287" t="s">
        <v>83</v>
      </c>
      <c r="I287" t="s">
        <v>77</v>
      </c>
      <c r="J287">
        <v>1800</v>
      </c>
      <c r="K287" t="str">
        <f>_xlfn.XLOOKUP(Sales_Data[[#This Row],[Product_ID]],products!A:A,products!B:B,"Not Found")</f>
        <v>USB Drive</v>
      </c>
      <c r="L287" t="str">
        <f>_xlfn.XLOOKUP(Sales_Data[[#This Row],[Product_ID]],products!A:A,products!C:C,"Not Found")</f>
        <v>Accessories</v>
      </c>
      <c r="M287" t="str">
        <f>_xlfn.XLOOKUP(C287,customers!A:A,customers!B:B,"Not Found")</f>
        <v>Karan Mehta</v>
      </c>
      <c r="N287" t="str">
        <f>_xlfn.XLOOKUP(C286,customers!A:A,customers!C:C,"Not Found")</f>
        <v>Nagpur</v>
      </c>
      <c r="O287" t="str">
        <f>IF(Sales_Data[[#This Row],[Total_Sales]]&gt;=50000,"High","Low")</f>
        <v>Low</v>
      </c>
    </row>
    <row r="288" spans="1:15" x14ac:dyDescent="0.3">
      <c r="A288">
        <v>1287</v>
      </c>
      <c r="B288" s="4">
        <v>46197</v>
      </c>
      <c r="C288" t="s">
        <v>24</v>
      </c>
      <c r="D288" t="s">
        <v>62</v>
      </c>
      <c r="E288">
        <v>6</v>
      </c>
      <c r="F288">
        <v>3000</v>
      </c>
      <c r="G288" t="s">
        <v>75</v>
      </c>
      <c r="H288" t="s">
        <v>84</v>
      </c>
      <c r="I288" t="s">
        <v>87</v>
      </c>
      <c r="J288">
        <v>18000</v>
      </c>
      <c r="K288" t="str">
        <f>_xlfn.XLOOKUP(Sales_Data[[#This Row],[Product_ID]],products!A:A,products!B:B,"Not Found")</f>
        <v>Webcam</v>
      </c>
      <c r="L288" t="str">
        <f>_xlfn.XLOOKUP(Sales_Data[[#This Row],[Product_ID]],products!A:A,products!C:C,"Not Found")</f>
        <v>Accessories</v>
      </c>
      <c r="M288" t="str">
        <f>_xlfn.XLOOKUP(C288,customers!A:A,customers!B:B,"Not Found")</f>
        <v>Pooja Deshmukh</v>
      </c>
      <c r="N288" t="str">
        <f>_xlfn.XLOOKUP(C287,customers!A:A,customers!C:C,"Not Found")</f>
        <v>Bhopal</v>
      </c>
      <c r="O288" t="str">
        <f>IF(Sales_Data[[#This Row],[Total_Sales]]&gt;=50000,"High","Low")</f>
        <v>Low</v>
      </c>
    </row>
    <row r="289" spans="1:15" x14ac:dyDescent="0.3">
      <c r="A289">
        <v>1288</v>
      </c>
      <c r="B289" s="4">
        <v>46151</v>
      </c>
      <c r="C289" t="s">
        <v>21</v>
      </c>
      <c r="D289" t="s">
        <v>52</v>
      </c>
      <c r="E289">
        <v>1</v>
      </c>
      <c r="F289">
        <v>800</v>
      </c>
      <c r="G289" t="s">
        <v>78</v>
      </c>
      <c r="H289" t="s">
        <v>84</v>
      </c>
      <c r="I289" t="s">
        <v>87</v>
      </c>
      <c r="J289">
        <v>800</v>
      </c>
      <c r="K289" t="str">
        <f>_xlfn.XLOOKUP(Sales_Data[[#This Row],[Product_ID]],products!A:A,products!B:B,"Not Found")</f>
        <v>Mouse</v>
      </c>
      <c r="L289" t="str">
        <f>_xlfn.XLOOKUP(Sales_Data[[#This Row],[Product_ID]],products!A:A,products!C:C,"Not Found")</f>
        <v>Accessories</v>
      </c>
      <c r="M289" t="str">
        <f>_xlfn.XLOOKUP(C289,customers!A:A,customers!B:B,"Not Found")</f>
        <v>Karan Mehta</v>
      </c>
      <c r="N289" t="str">
        <f>_xlfn.XLOOKUP(C288,customers!A:A,customers!C:C,"Not Found")</f>
        <v>Aurangabad</v>
      </c>
      <c r="O289" t="str">
        <f>IF(Sales_Data[[#This Row],[Total_Sales]]&gt;=50000,"High","Low")</f>
        <v>Low</v>
      </c>
    </row>
    <row r="290" spans="1:15" x14ac:dyDescent="0.3">
      <c r="A290">
        <v>1289</v>
      </c>
      <c r="B290" s="4">
        <v>46064</v>
      </c>
      <c r="C290" t="s">
        <v>9</v>
      </c>
      <c r="D290" t="s">
        <v>56</v>
      </c>
      <c r="E290">
        <v>6</v>
      </c>
      <c r="F290">
        <v>3500</v>
      </c>
      <c r="G290" t="s">
        <v>86</v>
      </c>
      <c r="H290" t="s">
        <v>76</v>
      </c>
      <c r="I290" t="s">
        <v>85</v>
      </c>
      <c r="J290">
        <v>21000</v>
      </c>
      <c r="K290" t="str">
        <f>_xlfn.XLOOKUP(Sales_Data[[#This Row],[Product_ID]],products!A:A,products!B:B,"Not Found")</f>
        <v>Headphones</v>
      </c>
      <c r="L290" t="str">
        <f>_xlfn.XLOOKUP(Sales_Data[[#This Row],[Product_ID]],products!A:A,products!C:C,"Not Found")</f>
        <v>Accessories</v>
      </c>
      <c r="M290" t="str">
        <f>_xlfn.XLOOKUP(C290,customers!A:A,customers!B:B,"Not Found")</f>
        <v>Amit Verma</v>
      </c>
      <c r="N290" t="str">
        <f>_xlfn.XLOOKUP(C289,customers!A:A,customers!C:C,"Not Found")</f>
        <v>Bhopal</v>
      </c>
      <c r="O290" t="str">
        <f>IF(Sales_Data[[#This Row],[Total_Sales]]&gt;=50000,"High","Low")</f>
        <v>Low</v>
      </c>
    </row>
    <row r="291" spans="1:15" x14ac:dyDescent="0.3">
      <c r="A291">
        <v>1290</v>
      </c>
      <c r="B291" s="4">
        <v>46095</v>
      </c>
      <c r="C291" t="s">
        <v>40</v>
      </c>
      <c r="D291" t="s">
        <v>64</v>
      </c>
      <c r="E291">
        <v>2</v>
      </c>
      <c r="F291">
        <v>900</v>
      </c>
      <c r="G291" t="s">
        <v>82</v>
      </c>
      <c r="H291" t="s">
        <v>76</v>
      </c>
      <c r="I291" t="s">
        <v>85</v>
      </c>
      <c r="J291">
        <v>1800</v>
      </c>
      <c r="K291" t="str">
        <f>_xlfn.XLOOKUP(Sales_Data[[#This Row],[Product_ID]],products!A:A,products!B:B,"Not Found")</f>
        <v>USB Drive</v>
      </c>
      <c r="L291" t="str">
        <f>_xlfn.XLOOKUP(Sales_Data[[#This Row],[Product_ID]],products!A:A,products!C:C,"Not Found")</f>
        <v>Accessories</v>
      </c>
      <c r="M291" t="str">
        <f>_xlfn.XLOOKUP(C291,customers!A:A,customers!B:B,"Not Found")</f>
        <v>Nitin More</v>
      </c>
      <c r="N291" t="str">
        <f>_xlfn.XLOOKUP(C290,customers!A:A,customers!C:C,"Not Found")</f>
        <v>Mumbai</v>
      </c>
      <c r="O291" t="str">
        <f>IF(Sales_Data[[#This Row],[Total_Sales]]&gt;=50000,"High","Low")</f>
        <v>Low</v>
      </c>
    </row>
    <row r="292" spans="1:15" x14ac:dyDescent="0.3">
      <c r="A292">
        <v>1291</v>
      </c>
      <c r="B292" s="4">
        <v>46100</v>
      </c>
      <c r="C292" t="s">
        <v>32</v>
      </c>
      <c r="D292" t="s">
        <v>52</v>
      </c>
      <c r="E292">
        <v>2</v>
      </c>
      <c r="F292">
        <v>800</v>
      </c>
      <c r="G292" t="s">
        <v>80</v>
      </c>
      <c r="H292" t="s">
        <v>76</v>
      </c>
      <c r="I292" t="s">
        <v>87</v>
      </c>
      <c r="J292">
        <v>1600</v>
      </c>
      <c r="K292" t="str">
        <f>_xlfn.XLOOKUP(Sales_Data[[#This Row],[Product_ID]],products!A:A,products!B:B,"Not Found")</f>
        <v>Mouse</v>
      </c>
      <c r="L292" t="str">
        <f>_xlfn.XLOOKUP(Sales_Data[[#This Row],[Product_ID]],products!A:A,products!C:C,"Not Found")</f>
        <v>Accessories</v>
      </c>
      <c r="M292" t="str">
        <f>_xlfn.XLOOKUP(C292,customers!A:A,customers!B:B,"Not Found")</f>
        <v>Sahil Khan</v>
      </c>
      <c r="N292" t="str">
        <f>_xlfn.XLOOKUP(C291,customers!A:A,customers!C:C,"Not Found")</f>
        <v>Nagpur</v>
      </c>
      <c r="O292" t="str">
        <f>IF(Sales_Data[[#This Row],[Total_Sales]]&gt;=50000,"High","Low")</f>
        <v>Low</v>
      </c>
    </row>
    <row r="293" spans="1:15" x14ac:dyDescent="0.3">
      <c r="A293">
        <v>1292</v>
      </c>
      <c r="B293" s="4">
        <v>46182</v>
      </c>
      <c r="C293" t="s">
        <v>32</v>
      </c>
      <c r="D293" t="s">
        <v>52</v>
      </c>
      <c r="E293">
        <v>6</v>
      </c>
      <c r="F293">
        <v>800</v>
      </c>
      <c r="G293" t="s">
        <v>80</v>
      </c>
      <c r="H293" t="s">
        <v>79</v>
      </c>
      <c r="I293" t="s">
        <v>77</v>
      </c>
      <c r="J293">
        <v>4800</v>
      </c>
      <c r="K293" t="str">
        <f>_xlfn.XLOOKUP(Sales_Data[[#This Row],[Product_ID]],products!A:A,products!B:B,"Not Found")</f>
        <v>Mouse</v>
      </c>
      <c r="L293" t="str">
        <f>_xlfn.XLOOKUP(Sales_Data[[#This Row],[Product_ID]],products!A:A,products!C:C,"Not Found")</f>
        <v>Accessories</v>
      </c>
      <c r="M293" t="str">
        <f>_xlfn.XLOOKUP(C293,customers!A:A,customers!B:B,"Not Found")</f>
        <v>Sahil Khan</v>
      </c>
      <c r="N293" t="str">
        <f>_xlfn.XLOOKUP(C292,customers!A:A,customers!C:C,"Not Found")</f>
        <v>Pune</v>
      </c>
      <c r="O293" t="str">
        <f>IF(Sales_Data[[#This Row],[Total_Sales]]&gt;=50000,"High","Low")</f>
        <v>Low</v>
      </c>
    </row>
    <row r="294" spans="1:15" x14ac:dyDescent="0.3">
      <c r="A294">
        <v>1293</v>
      </c>
      <c r="B294" s="4">
        <v>46187</v>
      </c>
      <c r="C294" t="s">
        <v>3</v>
      </c>
      <c r="D294" t="s">
        <v>49</v>
      </c>
      <c r="E294">
        <v>5</v>
      </c>
      <c r="F294">
        <v>2500</v>
      </c>
      <c r="G294" t="s">
        <v>86</v>
      </c>
      <c r="H294" t="s">
        <v>76</v>
      </c>
      <c r="I294" t="s">
        <v>81</v>
      </c>
      <c r="J294">
        <v>12500</v>
      </c>
      <c r="K294" t="str">
        <f>_xlfn.XLOOKUP(Sales_Data[[#This Row],[Product_ID]],products!A:A,products!B:B,"Not Found")</f>
        <v>Keyboard</v>
      </c>
      <c r="L294" t="str">
        <f>_xlfn.XLOOKUP(Sales_Data[[#This Row],[Product_ID]],products!A:A,products!C:C,"Not Found")</f>
        <v>Accessories</v>
      </c>
      <c r="M294" t="str">
        <f>_xlfn.XLOOKUP(C294,customers!A:A,customers!B:B,"Not Found")</f>
        <v>Rahul Sharma</v>
      </c>
      <c r="N294" t="str">
        <f>_xlfn.XLOOKUP(C293,customers!A:A,customers!C:C,"Not Found")</f>
        <v>Pune</v>
      </c>
      <c r="O294" t="str">
        <f>IF(Sales_Data[[#This Row],[Total_Sales]]&gt;=50000,"High","Low")</f>
        <v>Low</v>
      </c>
    </row>
    <row r="295" spans="1:15" x14ac:dyDescent="0.3">
      <c r="A295">
        <v>1294</v>
      </c>
      <c r="B295" s="4">
        <v>46030</v>
      </c>
      <c r="C295" t="s">
        <v>32</v>
      </c>
      <c r="D295" t="s">
        <v>66</v>
      </c>
      <c r="E295">
        <v>8</v>
      </c>
      <c r="F295">
        <v>30000</v>
      </c>
      <c r="G295" t="s">
        <v>86</v>
      </c>
      <c r="H295" t="s">
        <v>84</v>
      </c>
      <c r="I295" t="s">
        <v>85</v>
      </c>
      <c r="J295">
        <v>240000</v>
      </c>
      <c r="K295" t="str">
        <f>_xlfn.XLOOKUP(Sales_Data[[#This Row],[Product_ID]],products!A:A,products!B:B,"Not Found")</f>
        <v>Smartphone</v>
      </c>
      <c r="L295" t="str">
        <f>_xlfn.XLOOKUP(Sales_Data[[#This Row],[Product_ID]],products!A:A,products!C:C,"Not Found")</f>
        <v>Electronics</v>
      </c>
      <c r="M295" t="str">
        <f>_xlfn.XLOOKUP(C295,customers!A:A,customers!B:B,"Not Found")</f>
        <v>Sahil Khan</v>
      </c>
      <c r="N295" t="str">
        <f>_xlfn.XLOOKUP(C294,customers!A:A,customers!C:C,"Not Found")</f>
        <v>Nagpur</v>
      </c>
      <c r="O295" t="str">
        <f>IF(Sales_Data[[#This Row],[Total_Sales]]&gt;=50000,"High","Low")</f>
        <v>High</v>
      </c>
    </row>
    <row r="296" spans="1:15" x14ac:dyDescent="0.3">
      <c r="A296">
        <v>1295</v>
      </c>
      <c r="B296" s="4">
        <v>46085</v>
      </c>
      <c r="C296" t="s">
        <v>24</v>
      </c>
      <c r="D296" t="s">
        <v>56</v>
      </c>
      <c r="E296">
        <v>7</v>
      </c>
      <c r="F296">
        <v>3500</v>
      </c>
      <c r="G296" t="s">
        <v>82</v>
      </c>
      <c r="H296" t="s">
        <v>88</v>
      </c>
      <c r="I296" t="s">
        <v>77</v>
      </c>
      <c r="J296">
        <v>24500</v>
      </c>
      <c r="K296" t="str">
        <f>_xlfn.XLOOKUP(Sales_Data[[#This Row],[Product_ID]],products!A:A,products!B:B,"Not Found")</f>
        <v>Headphones</v>
      </c>
      <c r="L296" t="str">
        <f>_xlfn.XLOOKUP(Sales_Data[[#This Row],[Product_ID]],products!A:A,products!C:C,"Not Found")</f>
        <v>Accessories</v>
      </c>
      <c r="M296" t="str">
        <f>_xlfn.XLOOKUP(C296,customers!A:A,customers!B:B,"Not Found")</f>
        <v>Pooja Deshmukh</v>
      </c>
      <c r="N296" t="str">
        <f>_xlfn.XLOOKUP(C295,customers!A:A,customers!C:C,"Not Found")</f>
        <v>Pune</v>
      </c>
      <c r="O296" t="str">
        <f>IF(Sales_Data[[#This Row],[Total_Sales]]&gt;=50000,"High","Low")</f>
        <v>Low</v>
      </c>
    </row>
    <row r="297" spans="1:15" x14ac:dyDescent="0.3">
      <c r="A297">
        <v>1296</v>
      </c>
      <c r="B297" s="4">
        <v>46135</v>
      </c>
      <c r="C297" t="s">
        <v>9</v>
      </c>
      <c r="D297" t="s">
        <v>46</v>
      </c>
      <c r="E297">
        <v>7</v>
      </c>
      <c r="F297">
        <v>55000</v>
      </c>
      <c r="G297" t="s">
        <v>89</v>
      </c>
      <c r="H297" t="s">
        <v>88</v>
      </c>
      <c r="I297" t="s">
        <v>87</v>
      </c>
      <c r="J297">
        <v>385000</v>
      </c>
      <c r="K297" t="str">
        <f>_xlfn.XLOOKUP(Sales_Data[[#This Row],[Product_ID]],products!A:A,products!B:B,"Not Found")</f>
        <v>Laptop</v>
      </c>
      <c r="L297" t="str">
        <f>_xlfn.XLOOKUP(Sales_Data[[#This Row],[Product_ID]],products!A:A,products!C:C,"Not Found")</f>
        <v>Electronics</v>
      </c>
      <c r="M297" t="str">
        <f>_xlfn.XLOOKUP(C297,customers!A:A,customers!B:B,"Not Found")</f>
        <v>Amit Verma</v>
      </c>
      <c r="N297" t="str">
        <f>_xlfn.XLOOKUP(C296,customers!A:A,customers!C:C,"Not Found")</f>
        <v>Aurangabad</v>
      </c>
      <c r="O297" t="str">
        <f>IF(Sales_Data[[#This Row],[Total_Sales]]&gt;=50000,"High","Low")</f>
        <v>High</v>
      </c>
    </row>
    <row r="298" spans="1:15" x14ac:dyDescent="0.3">
      <c r="A298">
        <v>1297</v>
      </c>
      <c r="B298" s="4">
        <v>46059</v>
      </c>
      <c r="C298" t="s">
        <v>30</v>
      </c>
      <c r="D298" t="s">
        <v>58</v>
      </c>
      <c r="E298">
        <v>6</v>
      </c>
      <c r="F298">
        <v>12000</v>
      </c>
      <c r="G298" t="s">
        <v>86</v>
      </c>
      <c r="H298" t="s">
        <v>83</v>
      </c>
      <c r="I298" t="s">
        <v>85</v>
      </c>
      <c r="J298">
        <v>72000</v>
      </c>
      <c r="K298" t="str">
        <f>_xlfn.XLOOKUP(Sales_Data[[#This Row],[Product_ID]],products!A:A,products!B:B,"Not Found")</f>
        <v>Printer</v>
      </c>
      <c r="L298" t="str">
        <f>_xlfn.XLOOKUP(Sales_Data[[#This Row],[Product_ID]],products!A:A,products!C:C,"Not Found")</f>
        <v>Electronics</v>
      </c>
      <c r="M298" t="str">
        <f>_xlfn.XLOOKUP(C298,customers!A:A,customers!B:B,"Not Found")</f>
        <v>Anjali Kulkarni</v>
      </c>
      <c r="N298" t="str">
        <f>_xlfn.XLOOKUP(C297,customers!A:A,customers!C:C,"Not Found")</f>
        <v>Mumbai</v>
      </c>
      <c r="O298" t="str">
        <f>IF(Sales_Data[[#This Row],[Total_Sales]]&gt;=50000,"High","Low")</f>
        <v>High</v>
      </c>
    </row>
    <row r="299" spans="1:15" x14ac:dyDescent="0.3">
      <c r="A299">
        <v>1298</v>
      </c>
      <c r="B299" s="4">
        <v>46117</v>
      </c>
      <c r="C299" t="s">
        <v>9</v>
      </c>
      <c r="D299" t="s">
        <v>60</v>
      </c>
      <c r="E299">
        <v>2</v>
      </c>
      <c r="F299">
        <v>22000</v>
      </c>
      <c r="G299" t="s">
        <v>82</v>
      </c>
      <c r="H299" t="s">
        <v>76</v>
      </c>
      <c r="I299" t="s">
        <v>81</v>
      </c>
      <c r="J299">
        <v>44000</v>
      </c>
      <c r="K299" t="str">
        <f>_xlfn.XLOOKUP(Sales_Data[[#This Row],[Product_ID]],products!A:A,products!B:B,"Not Found")</f>
        <v>Tablet</v>
      </c>
      <c r="L299" t="str">
        <f>_xlfn.XLOOKUP(Sales_Data[[#This Row],[Product_ID]],products!A:A,products!C:C,"Not Found")</f>
        <v>Electronics</v>
      </c>
      <c r="M299" t="str">
        <f>_xlfn.XLOOKUP(C299,customers!A:A,customers!B:B,"Not Found")</f>
        <v>Amit Verma</v>
      </c>
      <c r="N299" t="str">
        <f>_xlfn.XLOOKUP(C298,customers!A:A,customers!C:C,"Not Found")</f>
        <v>Nagpur</v>
      </c>
      <c r="O299" t="str">
        <f>IF(Sales_Data[[#This Row],[Total_Sales]]&gt;=50000,"High","Low")</f>
        <v>Low</v>
      </c>
    </row>
    <row r="300" spans="1:15" x14ac:dyDescent="0.3">
      <c r="A300">
        <v>1299</v>
      </c>
      <c r="B300" s="4">
        <v>46138</v>
      </c>
      <c r="C300" t="s">
        <v>15</v>
      </c>
      <c r="D300" t="s">
        <v>49</v>
      </c>
      <c r="E300">
        <v>4</v>
      </c>
      <c r="F300">
        <v>2500</v>
      </c>
      <c r="G300" t="s">
        <v>75</v>
      </c>
      <c r="H300" t="s">
        <v>79</v>
      </c>
      <c r="I300" t="s">
        <v>77</v>
      </c>
      <c r="J300">
        <v>10000</v>
      </c>
      <c r="K300" t="str">
        <f>_xlfn.XLOOKUP(Sales_Data[[#This Row],[Product_ID]],products!A:A,products!B:B,"Not Found")</f>
        <v>Keyboard</v>
      </c>
      <c r="L300" t="str">
        <f>_xlfn.XLOOKUP(Sales_Data[[#This Row],[Product_ID]],products!A:A,products!C:C,"Not Found")</f>
        <v>Accessories</v>
      </c>
      <c r="M300" t="str">
        <f>_xlfn.XLOOKUP(C300,customers!A:A,customers!B:B,"Not Found")</f>
        <v>Rohit Singh</v>
      </c>
      <c r="N300" t="str">
        <f>_xlfn.XLOOKUP(C299,customers!A:A,customers!C:C,"Not Found")</f>
        <v>Mumbai</v>
      </c>
      <c r="O300" t="str">
        <f>IF(Sales_Data[[#This Row],[Total_Sales]]&gt;=50000,"High","Low")</f>
        <v>Low</v>
      </c>
    </row>
    <row r="301" spans="1:15" x14ac:dyDescent="0.3">
      <c r="A301">
        <v>1300</v>
      </c>
      <c r="B301" s="4">
        <v>46180</v>
      </c>
      <c r="C301" t="s">
        <v>21</v>
      </c>
      <c r="D301" t="s">
        <v>56</v>
      </c>
      <c r="E301">
        <v>7</v>
      </c>
      <c r="F301">
        <v>3500</v>
      </c>
      <c r="G301" t="s">
        <v>75</v>
      </c>
      <c r="H301" t="s">
        <v>76</v>
      </c>
      <c r="I301" t="s">
        <v>85</v>
      </c>
      <c r="J301">
        <v>24500</v>
      </c>
      <c r="K301" t="str">
        <f>_xlfn.XLOOKUP(Sales_Data[[#This Row],[Product_ID]],products!A:A,products!B:B,"Not Found")</f>
        <v>Headphones</v>
      </c>
      <c r="L301" t="str">
        <f>_xlfn.XLOOKUP(Sales_Data[[#This Row],[Product_ID]],products!A:A,products!C:C,"Not Found")</f>
        <v>Accessories</v>
      </c>
      <c r="M301" t="str">
        <f>_xlfn.XLOOKUP(C301,customers!A:A,customers!B:B,"Not Found")</f>
        <v>Karan Mehta</v>
      </c>
      <c r="N301" t="str">
        <f>_xlfn.XLOOKUP(C300,customers!A:A,customers!C:C,"Not Found")</f>
        <v>Delhi</v>
      </c>
      <c r="O301" t="str">
        <f>IF(Sales_Data[[#This Row],[Total_Sales]]&gt;=50000,"High","Low")</f>
        <v>Low</v>
      </c>
    </row>
    <row r="302" spans="1:15" x14ac:dyDescent="0.3">
      <c r="A302">
        <v>1301</v>
      </c>
      <c r="B302" s="4">
        <v>46103</v>
      </c>
      <c r="C302" t="s">
        <v>34</v>
      </c>
      <c r="D302" t="s">
        <v>66</v>
      </c>
      <c r="E302">
        <v>4</v>
      </c>
      <c r="F302">
        <v>30000</v>
      </c>
      <c r="G302" t="s">
        <v>75</v>
      </c>
      <c r="H302" t="s">
        <v>88</v>
      </c>
      <c r="I302" t="s">
        <v>81</v>
      </c>
      <c r="J302">
        <v>120000</v>
      </c>
      <c r="K302" t="str">
        <f>_xlfn.XLOOKUP(Sales_Data[[#This Row],[Product_ID]],products!A:A,products!B:B,"Not Found")</f>
        <v>Smartphone</v>
      </c>
      <c r="L302" t="str">
        <f>_xlfn.XLOOKUP(Sales_Data[[#This Row],[Product_ID]],products!A:A,products!C:C,"Not Found")</f>
        <v>Electronics</v>
      </c>
      <c r="M302" t="str">
        <f>_xlfn.XLOOKUP(C302,customers!A:A,customers!B:B,"Not Found")</f>
        <v>Riya Shah</v>
      </c>
      <c r="N302" t="str">
        <f>_xlfn.XLOOKUP(C301,customers!A:A,customers!C:C,"Not Found")</f>
        <v>Bhopal</v>
      </c>
      <c r="O302" t="str">
        <f>IF(Sales_Data[[#This Row],[Total_Sales]]&gt;=50000,"High","Low")</f>
        <v>High</v>
      </c>
    </row>
    <row r="303" spans="1:15" x14ac:dyDescent="0.3">
      <c r="A303">
        <v>1302</v>
      </c>
      <c r="B303" s="4">
        <v>46101</v>
      </c>
      <c r="C303" t="s">
        <v>40</v>
      </c>
      <c r="D303" t="s">
        <v>62</v>
      </c>
      <c r="E303">
        <v>8</v>
      </c>
      <c r="F303">
        <v>3000</v>
      </c>
      <c r="G303" t="s">
        <v>78</v>
      </c>
      <c r="H303" t="s">
        <v>79</v>
      </c>
      <c r="I303" t="s">
        <v>81</v>
      </c>
      <c r="J303">
        <v>24000</v>
      </c>
      <c r="K303" t="str">
        <f>_xlfn.XLOOKUP(Sales_Data[[#This Row],[Product_ID]],products!A:A,products!B:B,"Not Found")</f>
        <v>Webcam</v>
      </c>
      <c r="L303" t="str">
        <f>_xlfn.XLOOKUP(Sales_Data[[#This Row],[Product_ID]],products!A:A,products!C:C,"Not Found")</f>
        <v>Accessories</v>
      </c>
      <c r="M303" t="str">
        <f>_xlfn.XLOOKUP(C303,customers!A:A,customers!B:B,"Not Found")</f>
        <v>Nitin More</v>
      </c>
      <c r="N303" t="str">
        <f>_xlfn.XLOOKUP(C302,customers!A:A,customers!C:C,"Not Found")</f>
        <v>Mumbai</v>
      </c>
      <c r="O303" t="str">
        <f>IF(Sales_Data[[#This Row],[Total_Sales]]&gt;=50000,"High","Low")</f>
        <v>Low</v>
      </c>
    </row>
    <row r="304" spans="1:15" x14ac:dyDescent="0.3">
      <c r="A304">
        <v>1303</v>
      </c>
      <c r="B304" s="4">
        <v>46084</v>
      </c>
      <c r="C304" t="s">
        <v>24</v>
      </c>
      <c r="D304" t="s">
        <v>64</v>
      </c>
      <c r="E304">
        <v>4</v>
      </c>
      <c r="F304">
        <v>900</v>
      </c>
      <c r="G304" t="s">
        <v>80</v>
      </c>
      <c r="H304" t="s">
        <v>83</v>
      </c>
      <c r="I304" t="s">
        <v>77</v>
      </c>
      <c r="J304">
        <v>3600</v>
      </c>
      <c r="K304" t="str">
        <f>_xlfn.XLOOKUP(Sales_Data[[#This Row],[Product_ID]],products!A:A,products!B:B,"Not Found")</f>
        <v>USB Drive</v>
      </c>
      <c r="L304" t="str">
        <f>_xlfn.XLOOKUP(Sales_Data[[#This Row],[Product_ID]],products!A:A,products!C:C,"Not Found")</f>
        <v>Accessories</v>
      </c>
      <c r="M304" t="str">
        <f>_xlfn.XLOOKUP(C304,customers!A:A,customers!B:B,"Not Found")</f>
        <v>Pooja Deshmukh</v>
      </c>
      <c r="N304" t="str">
        <f>_xlfn.XLOOKUP(C303,customers!A:A,customers!C:C,"Not Found")</f>
        <v>Nagpur</v>
      </c>
      <c r="O304" t="str">
        <f>IF(Sales_Data[[#This Row],[Total_Sales]]&gt;=50000,"High","Low")</f>
        <v>Low</v>
      </c>
    </row>
    <row r="305" spans="1:15" x14ac:dyDescent="0.3">
      <c r="A305">
        <v>1304</v>
      </c>
      <c r="B305" s="4">
        <v>46149</v>
      </c>
      <c r="C305" t="s">
        <v>15</v>
      </c>
      <c r="D305" t="s">
        <v>46</v>
      </c>
      <c r="E305">
        <v>8</v>
      </c>
      <c r="F305">
        <v>55000</v>
      </c>
      <c r="G305" t="s">
        <v>82</v>
      </c>
      <c r="H305" t="s">
        <v>84</v>
      </c>
      <c r="I305" t="s">
        <v>77</v>
      </c>
      <c r="J305">
        <v>440000</v>
      </c>
      <c r="K305" t="str">
        <f>_xlfn.XLOOKUP(Sales_Data[[#This Row],[Product_ID]],products!A:A,products!B:B,"Not Found")</f>
        <v>Laptop</v>
      </c>
      <c r="L305" t="str">
        <f>_xlfn.XLOOKUP(Sales_Data[[#This Row],[Product_ID]],products!A:A,products!C:C,"Not Found")</f>
        <v>Electronics</v>
      </c>
      <c r="M305" t="str">
        <f>_xlfn.XLOOKUP(C305,customers!A:A,customers!B:B,"Not Found")</f>
        <v>Rohit Singh</v>
      </c>
      <c r="N305" t="str">
        <f>_xlfn.XLOOKUP(C304,customers!A:A,customers!C:C,"Not Found")</f>
        <v>Aurangabad</v>
      </c>
      <c r="O305" t="str">
        <f>IF(Sales_Data[[#This Row],[Total_Sales]]&gt;=50000,"High","Low")</f>
        <v>High</v>
      </c>
    </row>
    <row r="306" spans="1:15" x14ac:dyDescent="0.3">
      <c r="A306">
        <v>1305</v>
      </c>
      <c r="B306" s="4">
        <v>46057</v>
      </c>
      <c r="C306" t="s">
        <v>21</v>
      </c>
      <c r="D306" t="s">
        <v>49</v>
      </c>
      <c r="E306">
        <v>5</v>
      </c>
      <c r="F306">
        <v>2500</v>
      </c>
      <c r="G306" t="s">
        <v>86</v>
      </c>
      <c r="H306" t="s">
        <v>83</v>
      </c>
      <c r="I306" t="s">
        <v>81</v>
      </c>
      <c r="J306">
        <v>12500</v>
      </c>
      <c r="K306" t="str">
        <f>_xlfn.XLOOKUP(Sales_Data[[#This Row],[Product_ID]],products!A:A,products!B:B,"Not Found")</f>
        <v>Keyboard</v>
      </c>
      <c r="L306" t="str">
        <f>_xlfn.XLOOKUP(Sales_Data[[#This Row],[Product_ID]],products!A:A,products!C:C,"Not Found")</f>
        <v>Accessories</v>
      </c>
      <c r="M306" t="str">
        <f>_xlfn.XLOOKUP(C306,customers!A:A,customers!B:B,"Not Found")</f>
        <v>Karan Mehta</v>
      </c>
      <c r="N306" t="str">
        <f>_xlfn.XLOOKUP(C305,customers!A:A,customers!C:C,"Not Found")</f>
        <v>Delhi</v>
      </c>
      <c r="O306" t="str">
        <f>IF(Sales_Data[[#This Row],[Total_Sales]]&gt;=50000,"High","Low")</f>
        <v>Low</v>
      </c>
    </row>
    <row r="307" spans="1:15" x14ac:dyDescent="0.3">
      <c r="A307">
        <v>1306</v>
      </c>
      <c r="B307" s="4">
        <v>46125</v>
      </c>
      <c r="C307" t="s">
        <v>3</v>
      </c>
      <c r="D307" t="s">
        <v>58</v>
      </c>
      <c r="E307">
        <v>1</v>
      </c>
      <c r="F307">
        <v>12000</v>
      </c>
      <c r="G307" t="s">
        <v>80</v>
      </c>
      <c r="H307" t="s">
        <v>84</v>
      </c>
      <c r="I307" t="s">
        <v>87</v>
      </c>
      <c r="J307">
        <v>12000</v>
      </c>
      <c r="K307" t="str">
        <f>_xlfn.XLOOKUP(Sales_Data[[#This Row],[Product_ID]],products!A:A,products!B:B,"Not Found")</f>
        <v>Printer</v>
      </c>
      <c r="L307" t="str">
        <f>_xlfn.XLOOKUP(Sales_Data[[#This Row],[Product_ID]],products!A:A,products!C:C,"Not Found")</f>
        <v>Electronics</v>
      </c>
      <c r="M307" t="str">
        <f>_xlfn.XLOOKUP(C307,customers!A:A,customers!B:B,"Not Found")</f>
        <v>Rahul Sharma</v>
      </c>
      <c r="N307" t="str">
        <f>_xlfn.XLOOKUP(C306,customers!A:A,customers!C:C,"Not Found")</f>
        <v>Bhopal</v>
      </c>
      <c r="O307" t="str">
        <f>IF(Sales_Data[[#This Row],[Total_Sales]]&gt;=50000,"High","Low")</f>
        <v>Low</v>
      </c>
    </row>
    <row r="308" spans="1:15" x14ac:dyDescent="0.3">
      <c r="A308">
        <v>1307</v>
      </c>
      <c r="B308" s="4">
        <v>46096</v>
      </c>
      <c r="C308" t="s">
        <v>27</v>
      </c>
      <c r="D308" t="s">
        <v>58</v>
      </c>
      <c r="E308">
        <v>2</v>
      </c>
      <c r="F308">
        <v>12000</v>
      </c>
      <c r="G308" t="s">
        <v>89</v>
      </c>
      <c r="H308" t="s">
        <v>84</v>
      </c>
      <c r="I308" t="s">
        <v>81</v>
      </c>
      <c r="J308">
        <v>24000</v>
      </c>
      <c r="K308" t="str">
        <f>_xlfn.XLOOKUP(Sales_Data[[#This Row],[Product_ID]],products!A:A,products!B:B,"Not Found")</f>
        <v>Printer</v>
      </c>
      <c r="L308" t="str">
        <f>_xlfn.XLOOKUP(Sales_Data[[#This Row],[Product_ID]],products!A:A,products!C:C,"Not Found")</f>
        <v>Electronics</v>
      </c>
      <c r="M308" t="str">
        <f>_xlfn.XLOOKUP(C308,customers!A:A,customers!B:B,"Not Found")</f>
        <v>Vikas Yadav</v>
      </c>
      <c r="N308" t="str">
        <f>_xlfn.XLOOKUP(C307,customers!A:A,customers!C:C,"Not Found")</f>
        <v>Nagpur</v>
      </c>
      <c r="O308" t="str">
        <f>IF(Sales_Data[[#This Row],[Total_Sales]]&gt;=50000,"High","Low")</f>
        <v>Low</v>
      </c>
    </row>
    <row r="309" spans="1:15" x14ac:dyDescent="0.3">
      <c r="A309">
        <v>1308</v>
      </c>
      <c r="B309" s="4">
        <v>46182</v>
      </c>
      <c r="C309" t="s">
        <v>15</v>
      </c>
      <c r="D309" t="s">
        <v>64</v>
      </c>
      <c r="E309">
        <v>2</v>
      </c>
      <c r="F309">
        <v>900</v>
      </c>
      <c r="G309" t="s">
        <v>75</v>
      </c>
      <c r="H309" t="s">
        <v>79</v>
      </c>
      <c r="I309" t="s">
        <v>81</v>
      </c>
      <c r="J309">
        <v>1800</v>
      </c>
      <c r="K309" t="str">
        <f>_xlfn.XLOOKUP(Sales_Data[[#This Row],[Product_ID]],products!A:A,products!B:B,"Not Found")</f>
        <v>USB Drive</v>
      </c>
      <c r="L309" t="str">
        <f>_xlfn.XLOOKUP(Sales_Data[[#This Row],[Product_ID]],products!A:A,products!C:C,"Not Found")</f>
        <v>Accessories</v>
      </c>
      <c r="M309" t="str">
        <f>_xlfn.XLOOKUP(C309,customers!A:A,customers!B:B,"Not Found")</f>
        <v>Rohit Singh</v>
      </c>
      <c r="N309" t="str">
        <f>_xlfn.XLOOKUP(C308,customers!A:A,customers!C:C,"Not Found")</f>
        <v>Thane</v>
      </c>
      <c r="O309" t="str">
        <f>IF(Sales_Data[[#This Row],[Total_Sales]]&gt;=50000,"High","Low")</f>
        <v>Low</v>
      </c>
    </row>
    <row r="310" spans="1:15" x14ac:dyDescent="0.3">
      <c r="A310">
        <v>1309</v>
      </c>
      <c r="B310" s="4">
        <v>46109</v>
      </c>
      <c r="C310" t="s">
        <v>36</v>
      </c>
      <c r="D310" t="s">
        <v>58</v>
      </c>
      <c r="E310">
        <v>6</v>
      </c>
      <c r="F310">
        <v>12000</v>
      </c>
      <c r="G310" t="s">
        <v>75</v>
      </c>
      <c r="H310" t="s">
        <v>76</v>
      </c>
      <c r="I310" t="s">
        <v>81</v>
      </c>
      <c r="J310">
        <v>72000</v>
      </c>
      <c r="K310" t="str">
        <f>_xlfn.XLOOKUP(Sales_Data[[#This Row],[Product_ID]],products!A:A,products!B:B,"Not Found")</f>
        <v>Printer</v>
      </c>
      <c r="L310" t="str">
        <f>_xlfn.XLOOKUP(Sales_Data[[#This Row],[Product_ID]],products!A:A,products!C:C,"Not Found")</f>
        <v>Electronics</v>
      </c>
      <c r="M310" t="str">
        <f>_xlfn.XLOOKUP(C310,customers!A:A,customers!B:B,"Not Found")</f>
        <v>Akash Jain</v>
      </c>
      <c r="N310" t="str">
        <f>_xlfn.XLOOKUP(C309,customers!A:A,customers!C:C,"Not Found")</f>
        <v>Delhi</v>
      </c>
      <c r="O310" t="str">
        <f>IF(Sales_Data[[#This Row],[Total_Sales]]&gt;=50000,"High","Low")</f>
        <v>High</v>
      </c>
    </row>
    <row r="311" spans="1:15" x14ac:dyDescent="0.3">
      <c r="A311">
        <v>1310</v>
      </c>
      <c r="B311" s="4">
        <v>46034</v>
      </c>
      <c r="C311" t="s">
        <v>3</v>
      </c>
      <c r="D311" t="s">
        <v>64</v>
      </c>
      <c r="E311">
        <v>1</v>
      </c>
      <c r="F311">
        <v>900</v>
      </c>
      <c r="G311" t="s">
        <v>75</v>
      </c>
      <c r="H311" t="s">
        <v>83</v>
      </c>
      <c r="I311" t="s">
        <v>81</v>
      </c>
      <c r="J311">
        <v>900</v>
      </c>
      <c r="K311" t="str">
        <f>_xlfn.XLOOKUP(Sales_Data[[#This Row],[Product_ID]],products!A:A,products!B:B,"Not Found")</f>
        <v>USB Drive</v>
      </c>
      <c r="L311" t="str">
        <f>_xlfn.XLOOKUP(Sales_Data[[#This Row],[Product_ID]],products!A:A,products!C:C,"Not Found")</f>
        <v>Accessories</v>
      </c>
      <c r="M311" t="str">
        <f>_xlfn.XLOOKUP(C311,customers!A:A,customers!B:B,"Not Found")</f>
        <v>Rahul Sharma</v>
      </c>
      <c r="N311" t="str">
        <f>_xlfn.XLOOKUP(C310,customers!A:A,customers!C:C,"Not Found")</f>
        <v>Nashik</v>
      </c>
      <c r="O311" t="str">
        <f>IF(Sales_Data[[#This Row],[Total_Sales]]&gt;=50000,"High","Low")</f>
        <v>Low</v>
      </c>
    </row>
    <row r="312" spans="1:15" x14ac:dyDescent="0.3">
      <c r="A312">
        <v>1311</v>
      </c>
      <c r="B312" s="4">
        <v>46061</v>
      </c>
      <c r="C312" t="s">
        <v>24</v>
      </c>
      <c r="D312" t="s">
        <v>64</v>
      </c>
      <c r="E312">
        <v>3</v>
      </c>
      <c r="F312">
        <v>900</v>
      </c>
      <c r="G312" t="s">
        <v>82</v>
      </c>
      <c r="H312" t="s">
        <v>84</v>
      </c>
      <c r="I312" t="s">
        <v>85</v>
      </c>
      <c r="J312">
        <v>2700</v>
      </c>
      <c r="K312" t="str">
        <f>_xlfn.XLOOKUP(Sales_Data[[#This Row],[Product_ID]],products!A:A,products!B:B,"Not Found")</f>
        <v>USB Drive</v>
      </c>
      <c r="L312" t="str">
        <f>_xlfn.XLOOKUP(Sales_Data[[#This Row],[Product_ID]],products!A:A,products!C:C,"Not Found")</f>
        <v>Accessories</v>
      </c>
      <c r="M312" t="str">
        <f>_xlfn.XLOOKUP(C312,customers!A:A,customers!B:B,"Not Found")</f>
        <v>Pooja Deshmukh</v>
      </c>
      <c r="N312" t="str">
        <f>_xlfn.XLOOKUP(C311,customers!A:A,customers!C:C,"Not Found")</f>
        <v>Nagpur</v>
      </c>
      <c r="O312" t="str">
        <f>IF(Sales_Data[[#This Row],[Total_Sales]]&gt;=50000,"High","Low")</f>
        <v>Low</v>
      </c>
    </row>
    <row r="313" spans="1:15" x14ac:dyDescent="0.3">
      <c r="A313">
        <v>1312</v>
      </c>
      <c r="B313" s="4">
        <v>46180</v>
      </c>
      <c r="C313" t="s">
        <v>21</v>
      </c>
      <c r="D313" t="s">
        <v>52</v>
      </c>
      <c r="E313">
        <v>5</v>
      </c>
      <c r="F313">
        <v>800</v>
      </c>
      <c r="G313" t="s">
        <v>80</v>
      </c>
      <c r="H313" t="s">
        <v>83</v>
      </c>
      <c r="I313" t="s">
        <v>81</v>
      </c>
      <c r="J313">
        <v>4000</v>
      </c>
      <c r="K313" t="str">
        <f>_xlfn.XLOOKUP(Sales_Data[[#This Row],[Product_ID]],products!A:A,products!B:B,"Not Found")</f>
        <v>Mouse</v>
      </c>
      <c r="L313" t="str">
        <f>_xlfn.XLOOKUP(Sales_Data[[#This Row],[Product_ID]],products!A:A,products!C:C,"Not Found")</f>
        <v>Accessories</v>
      </c>
      <c r="M313" t="str">
        <f>_xlfn.XLOOKUP(C313,customers!A:A,customers!B:B,"Not Found")</f>
        <v>Karan Mehta</v>
      </c>
      <c r="N313" t="str">
        <f>_xlfn.XLOOKUP(C312,customers!A:A,customers!C:C,"Not Found")</f>
        <v>Aurangabad</v>
      </c>
      <c r="O313" t="str">
        <f>IF(Sales_Data[[#This Row],[Total_Sales]]&gt;=50000,"High","Low")</f>
        <v>Low</v>
      </c>
    </row>
    <row r="314" spans="1:15" x14ac:dyDescent="0.3">
      <c r="A314">
        <v>1313</v>
      </c>
      <c r="B314" s="4">
        <v>46144</v>
      </c>
      <c r="C314" t="s">
        <v>15</v>
      </c>
      <c r="D314" t="s">
        <v>66</v>
      </c>
      <c r="E314">
        <v>1</v>
      </c>
      <c r="F314">
        <v>30000</v>
      </c>
      <c r="G314" t="s">
        <v>82</v>
      </c>
      <c r="H314" t="s">
        <v>83</v>
      </c>
      <c r="I314" t="s">
        <v>77</v>
      </c>
      <c r="J314">
        <v>30000</v>
      </c>
      <c r="K314" t="str">
        <f>_xlfn.XLOOKUP(Sales_Data[[#This Row],[Product_ID]],products!A:A,products!B:B,"Not Found")</f>
        <v>Smartphone</v>
      </c>
      <c r="L314" t="str">
        <f>_xlfn.XLOOKUP(Sales_Data[[#This Row],[Product_ID]],products!A:A,products!C:C,"Not Found")</f>
        <v>Electronics</v>
      </c>
      <c r="M314" t="str">
        <f>_xlfn.XLOOKUP(C314,customers!A:A,customers!B:B,"Not Found")</f>
        <v>Rohit Singh</v>
      </c>
      <c r="N314" t="str">
        <f>_xlfn.XLOOKUP(C313,customers!A:A,customers!C:C,"Not Found")</f>
        <v>Bhopal</v>
      </c>
      <c r="O314" t="str">
        <f>IF(Sales_Data[[#This Row],[Total_Sales]]&gt;=50000,"High","Low")</f>
        <v>Low</v>
      </c>
    </row>
    <row r="315" spans="1:15" x14ac:dyDescent="0.3">
      <c r="A315">
        <v>1314</v>
      </c>
      <c r="B315" s="4">
        <v>46101</v>
      </c>
      <c r="C315" t="s">
        <v>30</v>
      </c>
      <c r="D315" t="s">
        <v>60</v>
      </c>
      <c r="E315">
        <v>1</v>
      </c>
      <c r="F315">
        <v>22000</v>
      </c>
      <c r="G315" t="s">
        <v>80</v>
      </c>
      <c r="H315" t="s">
        <v>88</v>
      </c>
      <c r="I315" t="s">
        <v>85</v>
      </c>
      <c r="J315">
        <v>22000</v>
      </c>
      <c r="K315" t="str">
        <f>_xlfn.XLOOKUP(Sales_Data[[#This Row],[Product_ID]],products!A:A,products!B:B,"Not Found")</f>
        <v>Tablet</v>
      </c>
      <c r="L315" t="str">
        <f>_xlfn.XLOOKUP(Sales_Data[[#This Row],[Product_ID]],products!A:A,products!C:C,"Not Found")</f>
        <v>Electronics</v>
      </c>
      <c r="M315" t="str">
        <f>_xlfn.XLOOKUP(C315,customers!A:A,customers!B:B,"Not Found")</f>
        <v>Anjali Kulkarni</v>
      </c>
      <c r="N315" t="str">
        <f>_xlfn.XLOOKUP(C314,customers!A:A,customers!C:C,"Not Found")</f>
        <v>Delhi</v>
      </c>
      <c r="O315" t="str">
        <f>IF(Sales_Data[[#This Row],[Total_Sales]]&gt;=50000,"High","Low")</f>
        <v>Low</v>
      </c>
    </row>
    <row r="316" spans="1:15" x14ac:dyDescent="0.3">
      <c r="A316">
        <v>1315</v>
      </c>
      <c r="B316" s="4">
        <v>46081</v>
      </c>
      <c r="C316" t="s">
        <v>30</v>
      </c>
      <c r="D316" t="s">
        <v>66</v>
      </c>
      <c r="E316">
        <v>1</v>
      </c>
      <c r="F316">
        <v>30000</v>
      </c>
      <c r="G316" t="s">
        <v>80</v>
      </c>
      <c r="H316" t="s">
        <v>88</v>
      </c>
      <c r="I316" t="s">
        <v>87</v>
      </c>
      <c r="J316">
        <v>30000</v>
      </c>
      <c r="K316" t="str">
        <f>_xlfn.XLOOKUP(Sales_Data[[#This Row],[Product_ID]],products!A:A,products!B:B,"Not Found")</f>
        <v>Smartphone</v>
      </c>
      <c r="L316" t="str">
        <f>_xlfn.XLOOKUP(Sales_Data[[#This Row],[Product_ID]],products!A:A,products!C:C,"Not Found")</f>
        <v>Electronics</v>
      </c>
      <c r="M316" t="str">
        <f>_xlfn.XLOOKUP(C316,customers!A:A,customers!B:B,"Not Found")</f>
        <v>Anjali Kulkarni</v>
      </c>
      <c r="N316" t="str">
        <f>_xlfn.XLOOKUP(C315,customers!A:A,customers!C:C,"Not Found")</f>
        <v>Nagpur</v>
      </c>
      <c r="O316" t="str">
        <f>IF(Sales_Data[[#This Row],[Total_Sales]]&gt;=50000,"High","Low")</f>
        <v>Low</v>
      </c>
    </row>
    <row r="317" spans="1:15" x14ac:dyDescent="0.3">
      <c r="A317">
        <v>1316</v>
      </c>
      <c r="B317" s="4">
        <v>46181</v>
      </c>
      <c r="C317" t="s">
        <v>32</v>
      </c>
      <c r="D317" t="s">
        <v>64</v>
      </c>
      <c r="E317">
        <v>7</v>
      </c>
      <c r="F317">
        <v>900</v>
      </c>
      <c r="G317" t="s">
        <v>75</v>
      </c>
      <c r="H317" t="s">
        <v>76</v>
      </c>
      <c r="I317" t="s">
        <v>77</v>
      </c>
      <c r="J317">
        <v>6300</v>
      </c>
      <c r="K317" t="str">
        <f>_xlfn.XLOOKUP(Sales_Data[[#This Row],[Product_ID]],products!A:A,products!B:B,"Not Found")</f>
        <v>USB Drive</v>
      </c>
      <c r="L317" t="str">
        <f>_xlfn.XLOOKUP(Sales_Data[[#This Row],[Product_ID]],products!A:A,products!C:C,"Not Found")</f>
        <v>Accessories</v>
      </c>
      <c r="M317" t="str">
        <f>_xlfn.XLOOKUP(C317,customers!A:A,customers!B:B,"Not Found")</f>
        <v>Sahil Khan</v>
      </c>
      <c r="N317" t="str">
        <f>_xlfn.XLOOKUP(C316,customers!A:A,customers!C:C,"Not Found")</f>
        <v>Nagpur</v>
      </c>
      <c r="O317" t="str">
        <f>IF(Sales_Data[[#This Row],[Total_Sales]]&gt;=50000,"High","Low")</f>
        <v>Low</v>
      </c>
    </row>
    <row r="318" spans="1:15" x14ac:dyDescent="0.3">
      <c r="A318">
        <v>1317</v>
      </c>
      <c r="B318" s="4">
        <v>46051</v>
      </c>
      <c r="C318" t="s">
        <v>34</v>
      </c>
      <c r="D318" t="s">
        <v>66</v>
      </c>
      <c r="E318">
        <v>4</v>
      </c>
      <c r="F318">
        <v>30000</v>
      </c>
      <c r="G318" t="s">
        <v>78</v>
      </c>
      <c r="H318" t="s">
        <v>88</v>
      </c>
      <c r="I318" t="s">
        <v>85</v>
      </c>
      <c r="J318">
        <v>120000</v>
      </c>
      <c r="K318" t="str">
        <f>_xlfn.XLOOKUP(Sales_Data[[#This Row],[Product_ID]],products!A:A,products!B:B,"Not Found")</f>
        <v>Smartphone</v>
      </c>
      <c r="L318" t="str">
        <f>_xlfn.XLOOKUP(Sales_Data[[#This Row],[Product_ID]],products!A:A,products!C:C,"Not Found")</f>
        <v>Electronics</v>
      </c>
      <c r="M318" t="str">
        <f>_xlfn.XLOOKUP(C318,customers!A:A,customers!B:B,"Not Found")</f>
        <v>Riya Shah</v>
      </c>
      <c r="N318" t="str">
        <f>_xlfn.XLOOKUP(C317,customers!A:A,customers!C:C,"Not Found")</f>
        <v>Pune</v>
      </c>
      <c r="O318" t="str">
        <f>IF(Sales_Data[[#This Row],[Total_Sales]]&gt;=50000,"High","Low")</f>
        <v>High</v>
      </c>
    </row>
    <row r="319" spans="1:15" x14ac:dyDescent="0.3">
      <c r="A319">
        <v>1318</v>
      </c>
      <c r="B319" s="4">
        <v>46128</v>
      </c>
      <c r="C319" t="s">
        <v>9</v>
      </c>
      <c r="D319" t="s">
        <v>60</v>
      </c>
      <c r="E319">
        <v>4</v>
      </c>
      <c r="F319">
        <v>22000</v>
      </c>
      <c r="G319" t="s">
        <v>89</v>
      </c>
      <c r="H319" t="s">
        <v>84</v>
      </c>
      <c r="I319" t="s">
        <v>81</v>
      </c>
      <c r="J319">
        <v>88000</v>
      </c>
      <c r="K319" t="str">
        <f>_xlfn.XLOOKUP(Sales_Data[[#This Row],[Product_ID]],products!A:A,products!B:B,"Not Found")</f>
        <v>Tablet</v>
      </c>
      <c r="L319" t="str">
        <f>_xlfn.XLOOKUP(Sales_Data[[#This Row],[Product_ID]],products!A:A,products!C:C,"Not Found")</f>
        <v>Electronics</v>
      </c>
      <c r="M319" t="str">
        <f>_xlfn.XLOOKUP(C319,customers!A:A,customers!B:B,"Not Found")</f>
        <v>Amit Verma</v>
      </c>
      <c r="N319" t="str">
        <f>_xlfn.XLOOKUP(C318,customers!A:A,customers!C:C,"Not Found")</f>
        <v>Mumbai</v>
      </c>
      <c r="O319" t="str">
        <f>IF(Sales_Data[[#This Row],[Total_Sales]]&gt;=50000,"High","Low")</f>
        <v>High</v>
      </c>
    </row>
    <row r="320" spans="1:15" x14ac:dyDescent="0.3">
      <c r="A320">
        <v>1319</v>
      </c>
      <c r="B320" s="4">
        <v>46058</v>
      </c>
      <c r="C320" t="s">
        <v>34</v>
      </c>
      <c r="D320" t="s">
        <v>46</v>
      </c>
      <c r="E320">
        <v>4</v>
      </c>
      <c r="F320">
        <v>55000</v>
      </c>
      <c r="G320" t="s">
        <v>80</v>
      </c>
      <c r="H320" t="s">
        <v>83</v>
      </c>
      <c r="I320" t="s">
        <v>81</v>
      </c>
      <c r="J320">
        <v>220000</v>
      </c>
      <c r="K320" t="str">
        <f>_xlfn.XLOOKUP(Sales_Data[[#This Row],[Product_ID]],products!A:A,products!B:B,"Not Found")</f>
        <v>Laptop</v>
      </c>
      <c r="L320" t="str">
        <f>_xlfn.XLOOKUP(Sales_Data[[#This Row],[Product_ID]],products!A:A,products!C:C,"Not Found")</f>
        <v>Electronics</v>
      </c>
      <c r="M320" t="str">
        <f>_xlfn.XLOOKUP(C320,customers!A:A,customers!B:B,"Not Found")</f>
        <v>Riya Shah</v>
      </c>
      <c r="N320" t="str">
        <f>_xlfn.XLOOKUP(C319,customers!A:A,customers!C:C,"Not Found")</f>
        <v>Mumbai</v>
      </c>
      <c r="O320" t="str">
        <f>IF(Sales_Data[[#This Row],[Total_Sales]]&gt;=50000,"High","Low")</f>
        <v>High</v>
      </c>
    </row>
    <row r="321" spans="1:15" x14ac:dyDescent="0.3">
      <c r="A321">
        <v>1320</v>
      </c>
      <c r="B321" s="4">
        <v>46103</v>
      </c>
      <c r="C321" t="s">
        <v>21</v>
      </c>
      <c r="D321" t="s">
        <v>64</v>
      </c>
      <c r="E321">
        <v>3</v>
      </c>
      <c r="F321">
        <v>900</v>
      </c>
      <c r="G321" t="s">
        <v>89</v>
      </c>
      <c r="H321" t="s">
        <v>84</v>
      </c>
      <c r="I321" t="s">
        <v>85</v>
      </c>
      <c r="J321">
        <v>2700</v>
      </c>
      <c r="K321" t="str">
        <f>_xlfn.XLOOKUP(Sales_Data[[#This Row],[Product_ID]],products!A:A,products!B:B,"Not Found")</f>
        <v>USB Drive</v>
      </c>
      <c r="L321" t="str">
        <f>_xlfn.XLOOKUP(Sales_Data[[#This Row],[Product_ID]],products!A:A,products!C:C,"Not Found")</f>
        <v>Accessories</v>
      </c>
      <c r="M321" t="str">
        <f>_xlfn.XLOOKUP(C321,customers!A:A,customers!B:B,"Not Found")</f>
        <v>Karan Mehta</v>
      </c>
      <c r="N321" t="str">
        <f>_xlfn.XLOOKUP(C320,customers!A:A,customers!C:C,"Not Found")</f>
        <v>Mumbai</v>
      </c>
      <c r="O321" t="str">
        <f>IF(Sales_Data[[#This Row],[Total_Sales]]&gt;=50000,"High","Low")</f>
        <v>Low</v>
      </c>
    </row>
    <row r="322" spans="1:15" x14ac:dyDescent="0.3">
      <c r="A322">
        <v>1321</v>
      </c>
      <c r="B322" s="4">
        <v>46196</v>
      </c>
      <c r="C322" t="s">
        <v>18</v>
      </c>
      <c r="D322" t="s">
        <v>64</v>
      </c>
      <c r="E322">
        <v>5</v>
      </c>
      <c r="F322">
        <v>900</v>
      </c>
      <c r="G322" t="s">
        <v>80</v>
      </c>
      <c r="H322" t="s">
        <v>88</v>
      </c>
      <c r="I322" t="s">
        <v>87</v>
      </c>
      <c r="J322">
        <v>4500</v>
      </c>
      <c r="K322" t="str">
        <f>_xlfn.XLOOKUP(Sales_Data[[#This Row],[Product_ID]],products!A:A,products!B:B,"Not Found")</f>
        <v>USB Drive</v>
      </c>
      <c r="L322" t="str">
        <f>_xlfn.XLOOKUP(Sales_Data[[#This Row],[Product_ID]],products!A:A,products!C:C,"Not Found")</f>
        <v>Accessories</v>
      </c>
      <c r="M322" t="str">
        <f>_xlfn.XLOOKUP(C322,customers!A:A,customers!B:B,"Not Found")</f>
        <v>Neha Gupta</v>
      </c>
      <c r="N322" t="str">
        <f>_xlfn.XLOOKUP(C321,customers!A:A,customers!C:C,"Not Found")</f>
        <v>Bhopal</v>
      </c>
      <c r="O322" t="str">
        <f>IF(Sales_Data[[#This Row],[Total_Sales]]&gt;=50000,"High","Low")</f>
        <v>Low</v>
      </c>
    </row>
    <row r="323" spans="1:15" x14ac:dyDescent="0.3">
      <c r="A323">
        <v>1322</v>
      </c>
      <c r="B323" s="4">
        <v>46165</v>
      </c>
      <c r="C323" t="s">
        <v>15</v>
      </c>
      <c r="D323" t="s">
        <v>54</v>
      </c>
      <c r="E323">
        <v>5</v>
      </c>
      <c r="F323">
        <v>15000</v>
      </c>
      <c r="G323" t="s">
        <v>75</v>
      </c>
      <c r="H323" t="s">
        <v>83</v>
      </c>
      <c r="I323" t="s">
        <v>85</v>
      </c>
      <c r="J323">
        <v>75000</v>
      </c>
      <c r="K323" t="str">
        <f>_xlfn.XLOOKUP(Sales_Data[[#This Row],[Product_ID]],products!A:A,products!B:B,"Not Found")</f>
        <v>Monitor</v>
      </c>
      <c r="L323" t="str">
        <f>_xlfn.XLOOKUP(Sales_Data[[#This Row],[Product_ID]],products!A:A,products!C:C,"Not Found")</f>
        <v>Electronics</v>
      </c>
      <c r="M323" t="str">
        <f>_xlfn.XLOOKUP(C323,customers!A:A,customers!B:B,"Not Found")</f>
        <v>Rohit Singh</v>
      </c>
      <c r="N323" t="str">
        <f>_xlfn.XLOOKUP(C322,customers!A:A,customers!C:C,"Not Found")</f>
        <v>Indore</v>
      </c>
      <c r="O323" t="str">
        <f>IF(Sales_Data[[#This Row],[Total_Sales]]&gt;=50000,"High","Low")</f>
        <v>High</v>
      </c>
    </row>
    <row r="324" spans="1:15" x14ac:dyDescent="0.3">
      <c r="A324">
        <v>1323</v>
      </c>
      <c r="B324" s="4">
        <v>46203</v>
      </c>
      <c r="C324" t="s">
        <v>34</v>
      </c>
      <c r="D324" t="s">
        <v>54</v>
      </c>
      <c r="E324">
        <v>8</v>
      </c>
      <c r="F324">
        <v>15000</v>
      </c>
      <c r="G324" t="s">
        <v>82</v>
      </c>
      <c r="H324" t="s">
        <v>88</v>
      </c>
      <c r="I324" t="s">
        <v>85</v>
      </c>
      <c r="J324">
        <v>120000</v>
      </c>
      <c r="K324" t="str">
        <f>_xlfn.XLOOKUP(Sales_Data[[#This Row],[Product_ID]],products!A:A,products!B:B,"Not Found")</f>
        <v>Monitor</v>
      </c>
      <c r="L324" t="str">
        <f>_xlfn.XLOOKUP(Sales_Data[[#This Row],[Product_ID]],products!A:A,products!C:C,"Not Found")</f>
        <v>Electronics</v>
      </c>
      <c r="M324" t="str">
        <f>_xlfn.XLOOKUP(C324,customers!A:A,customers!B:B,"Not Found")</f>
        <v>Riya Shah</v>
      </c>
      <c r="N324" t="str">
        <f>_xlfn.XLOOKUP(C323,customers!A:A,customers!C:C,"Not Found")</f>
        <v>Delhi</v>
      </c>
      <c r="O324" t="str">
        <f>IF(Sales_Data[[#This Row],[Total_Sales]]&gt;=50000,"High","Low")</f>
        <v>High</v>
      </c>
    </row>
    <row r="325" spans="1:15" x14ac:dyDescent="0.3">
      <c r="A325">
        <v>1324</v>
      </c>
      <c r="B325" s="4">
        <v>46093</v>
      </c>
      <c r="C325" t="s">
        <v>40</v>
      </c>
      <c r="D325" t="s">
        <v>64</v>
      </c>
      <c r="E325">
        <v>5</v>
      </c>
      <c r="F325">
        <v>900</v>
      </c>
      <c r="G325" t="s">
        <v>78</v>
      </c>
      <c r="H325" t="s">
        <v>84</v>
      </c>
      <c r="I325" t="s">
        <v>81</v>
      </c>
      <c r="J325">
        <v>4500</v>
      </c>
      <c r="K325" t="str">
        <f>_xlfn.XLOOKUP(Sales_Data[[#This Row],[Product_ID]],products!A:A,products!B:B,"Not Found")</f>
        <v>USB Drive</v>
      </c>
      <c r="L325" t="str">
        <f>_xlfn.XLOOKUP(Sales_Data[[#This Row],[Product_ID]],products!A:A,products!C:C,"Not Found")</f>
        <v>Accessories</v>
      </c>
      <c r="M325" t="str">
        <f>_xlfn.XLOOKUP(C325,customers!A:A,customers!B:B,"Not Found")</f>
        <v>Nitin More</v>
      </c>
      <c r="N325" t="str">
        <f>_xlfn.XLOOKUP(C324,customers!A:A,customers!C:C,"Not Found")</f>
        <v>Mumbai</v>
      </c>
      <c r="O325" t="str">
        <f>IF(Sales_Data[[#This Row],[Total_Sales]]&gt;=50000,"High","Low")</f>
        <v>Low</v>
      </c>
    </row>
    <row r="326" spans="1:15" x14ac:dyDescent="0.3">
      <c r="A326">
        <v>1325</v>
      </c>
      <c r="B326" s="4">
        <v>46111</v>
      </c>
      <c r="C326" t="s">
        <v>38</v>
      </c>
      <c r="D326" t="s">
        <v>60</v>
      </c>
      <c r="E326">
        <v>3</v>
      </c>
      <c r="F326">
        <v>22000</v>
      </c>
      <c r="G326" t="s">
        <v>82</v>
      </c>
      <c r="H326" t="s">
        <v>79</v>
      </c>
      <c r="I326" t="s">
        <v>85</v>
      </c>
      <c r="J326">
        <v>66000</v>
      </c>
      <c r="K326" t="str">
        <f>_xlfn.XLOOKUP(Sales_Data[[#This Row],[Product_ID]],products!A:A,products!B:B,"Not Found")</f>
        <v>Tablet</v>
      </c>
      <c r="L326" t="str">
        <f>_xlfn.XLOOKUP(Sales_Data[[#This Row],[Product_ID]],products!A:A,products!C:C,"Not Found")</f>
        <v>Electronics</v>
      </c>
      <c r="M326" t="str">
        <f>_xlfn.XLOOKUP(C326,customers!A:A,customers!B:B,"Not Found")</f>
        <v>Komal Pawar</v>
      </c>
      <c r="N326" t="str">
        <f>_xlfn.XLOOKUP(C325,customers!A:A,customers!C:C,"Not Found")</f>
        <v>Nagpur</v>
      </c>
      <c r="O326" t="str">
        <f>IF(Sales_Data[[#This Row],[Total_Sales]]&gt;=50000,"High","Low")</f>
        <v>High</v>
      </c>
    </row>
    <row r="327" spans="1:15" x14ac:dyDescent="0.3">
      <c r="A327">
        <v>1326</v>
      </c>
      <c r="B327" s="4">
        <v>46136</v>
      </c>
      <c r="C327" t="s">
        <v>18</v>
      </c>
      <c r="D327" t="s">
        <v>49</v>
      </c>
      <c r="E327">
        <v>5</v>
      </c>
      <c r="F327">
        <v>2500</v>
      </c>
      <c r="G327" t="s">
        <v>86</v>
      </c>
      <c r="H327" t="s">
        <v>88</v>
      </c>
      <c r="I327" t="s">
        <v>87</v>
      </c>
      <c r="J327">
        <v>12500</v>
      </c>
      <c r="K327" t="str">
        <f>_xlfn.XLOOKUP(Sales_Data[[#This Row],[Product_ID]],products!A:A,products!B:B,"Not Found")</f>
        <v>Keyboard</v>
      </c>
      <c r="L327" t="str">
        <f>_xlfn.XLOOKUP(Sales_Data[[#This Row],[Product_ID]],products!A:A,products!C:C,"Not Found")</f>
        <v>Accessories</v>
      </c>
      <c r="M327" t="str">
        <f>_xlfn.XLOOKUP(C327,customers!A:A,customers!B:B,"Not Found")</f>
        <v>Neha Gupta</v>
      </c>
      <c r="N327" t="str">
        <f>_xlfn.XLOOKUP(C326,customers!A:A,customers!C:C,"Not Found")</f>
        <v>Indore</v>
      </c>
      <c r="O327" t="str">
        <f>IF(Sales_Data[[#This Row],[Total_Sales]]&gt;=50000,"High","Low")</f>
        <v>Low</v>
      </c>
    </row>
    <row r="328" spans="1:15" x14ac:dyDescent="0.3">
      <c r="A328">
        <v>1327</v>
      </c>
      <c r="B328" s="4">
        <v>46160</v>
      </c>
      <c r="C328" t="s">
        <v>38</v>
      </c>
      <c r="D328" t="s">
        <v>54</v>
      </c>
      <c r="E328">
        <v>5</v>
      </c>
      <c r="F328">
        <v>15000</v>
      </c>
      <c r="G328" t="s">
        <v>80</v>
      </c>
      <c r="H328" t="s">
        <v>83</v>
      </c>
      <c r="I328" t="s">
        <v>87</v>
      </c>
      <c r="J328">
        <v>75000</v>
      </c>
      <c r="K328" t="str">
        <f>_xlfn.XLOOKUP(Sales_Data[[#This Row],[Product_ID]],products!A:A,products!B:B,"Not Found")</f>
        <v>Monitor</v>
      </c>
      <c r="L328" t="str">
        <f>_xlfn.XLOOKUP(Sales_Data[[#This Row],[Product_ID]],products!A:A,products!C:C,"Not Found")</f>
        <v>Electronics</v>
      </c>
      <c r="M328" t="str">
        <f>_xlfn.XLOOKUP(C328,customers!A:A,customers!B:B,"Not Found")</f>
        <v>Komal Pawar</v>
      </c>
      <c r="N328" t="str">
        <f>_xlfn.XLOOKUP(C327,customers!A:A,customers!C:C,"Not Found")</f>
        <v>Indore</v>
      </c>
      <c r="O328" t="str">
        <f>IF(Sales_Data[[#This Row],[Total_Sales]]&gt;=50000,"High","Low")</f>
        <v>High</v>
      </c>
    </row>
    <row r="329" spans="1:15" x14ac:dyDescent="0.3">
      <c r="A329">
        <v>1328</v>
      </c>
      <c r="B329" s="4">
        <v>46173</v>
      </c>
      <c r="C329" t="s">
        <v>30</v>
      </c>
      <c r="D329" t="s">
        <v>49</v>
      </c>
      <c r="E329">
        <v>4</v>
      </c>
      <c r="F329">
        <v>2500</v>
      </c>
      <c r="G329" t="s">
        <v>75</v>
      </c>
      <c r="H329" t="s">
        <v>79</v>
      </c>
      <c r="I329" t="s">
        <v>87</v>
      </c>
      <c r="J329">
        <v>10000</v>
      </c>
      <c r="K329" t="str">
        <f>_xlfn.XLOOKUP(Sales_Data[[#This Row],[Product_ID]],products!A:A,products!B:B,"Not Found")</f>
        <v>Keyboard</v>
      </c>
      <c r="L329" t="str">
        <f>_xlfn.XLOOKUP(Sales_Data[[#This Row],[Product_ID]],products!A:A,products!C:C,"Not Found")</f>
        <v>Accessories</v>
      </c>
      <c r="M329" t="str">
        <f>_xlfn.XLOOKUP(C329,customers!A:A,customers!B:B,"Not Found")</f>
        <v>Anjali Kulkarni</v>
      </c>
      <c r="N329" t="str">
        <f>_xlfn.XLOOKUP(C328,customers!A:A,customers!C:C,"Not Found")</f>
        <v>Indore</v>
      </c>
      <c r="O329" t="str">
        <f>IF(Sales_Data[[#This Row],[Total_Sales]]&gt;=50000,"High","Low")</f>
        <v>Low</v>
      </c>
    </row>
    <row r="330" spans="1:15" x14ac:dyDescent="0.3">
      <c r="A330">
        <v>1329</v>
      </c>
      <c r="B330" s="4">
        <v>46048</v>
      </c>
      <c r="C330" t="s">
        <v>3</v>
      </c>
      <c r="D330" t="s">
        <v>54</v>
      </c>
      <c r="E330">
        <v>7</v>
      </c>
      <c r="F330">
        <v>15000</v>
      </c>
      <c r="G330" t="s">
        <v>82</v>
      </c>
      <c r="H330" t="s">
        <v>88</v>
      </c>
      <c r="I330" t="s">
        <v>77</v>
      </c>
      <c r="J330">
        <v>105000</v>
      </c>
      <c r="K330" t="str">
        <f>_xlfn.XLOOKUP(Sales_Data[[#This Row],[Product_ID]],products!A:A,products!B:B,"Not Found")</f>
        <v>Monitor</v>
      </c>
      <c r="L330" t="str">
        <f>_xlfn.XLOOKUP(Sales_Data[[#This Row],[Product_ID]],products!A:A,products!C:C,"Not Found")</f>
        <v>Electronics</v>
      </c>
      <c r="M330" t="str">
        <f>_xlfn.XLOOKUP(C330,customers!A:A,customers!B:B,"Not Found")</f>
        <v>Rahul Sharma</v>
      </c>
      <c r="N330" t="str">
        <f>_xlfn.XLOOKUP(C329,customers!A:A,customers!C:C,"Not Found")</f>
        <v>Nagpur</v>
      </c>
      <c r="O330" t="str">
        <f>IF(Sales_Data[[#This Row],[Total_Sales]]&gt;=50000,"High","Low")</f>
        <v>High</v>
      </c>
    </row>
    <row r="331" spans="1:15" x14ac:dyDescent="0.3">
      <c r="A331">
        <v>1330</v>
      </c>
      <c r="B331" s="4">
        <v>46163</v>
      </c>
      <c r="C331" t="s">
        <v>3</v>
      </c>
      <c r="D331" t="s">
        <v>52</v>
      </c>
      <c r="E331">
        <v>3</v>
      </c>
      <c r="F331">
        <v>800</v>
      </c>
      <c r="G331" t="s">
        <v>89</v>
      </c>
      <c r="H331" t="s">
        <v>88</v>
      </c>
      <c r="I331" t="s">
        <v>81</v>
      </c>
      <c r="J331">
        <v>2400</v>
      </c>
      <c r="K331" t="str">
        <f>_xlfn.XLOOKUP(Sales_Data[[#This Row],[Product_ID]],products!A:A,products!B:B,"Not Found")</f>
        <v>Mouse</v>
      </c>
      <c r="L331" t="str">
        <f>_xlfn.XLOOKUP(Sales_Data[[#This Row],[Product_ID]],products!A:A,products!C:C,"Not Found")</f>
        <v>Accessories</v>
      </c>
      <c r="M331" t="str">
        <f>_xlfn.XLOOKUP(C331,customers!A:A,customers!B:B,"Not Found")</f>
        <v>Rahul Sharma</v>
      </c>
      <c r="N331" t="str">
        <f>_xlfn.XLOOKUP(C330,customers!A:A,customers!C:C,"Not Found")</f>
        <v>Nagpur</v>
      </c>
      <c r="O331" t="str">
        <f>IF(Sales_Data[[#This Row],[Total_Sales]]&gt;=50000,"High","Low")</f>
        <v>Low</v>
      </c>
    </row>
    <row r="332" spans="1:15" x14ac:dyDescent="0.3">
      <c r="A332">
        <v>1331</v>
      </c>
      <c r="B332" s="4">
        <v>46096</v>
      </c>
      <c r="C332" t="s">
        <v>36</v>
      </c>
      <c r="D332" t="s">
        <v>54</v>
      </c>
      <c r="E332">
        <v>6</v>
      </c>
      <c r="F332">
        <v>15000</v>
      </c>
      <c r="G332" t="s">
        <v>82</v>
      </c>
      <c r="H332" t="s">
        <v>79</v>
      </c>
      <c r="I332" t="s">
        <v>77</v>
      </c>
      <c r="J332">
        <v>90000</v>
      </c>
      <c r="K332" t="str">
        <f>_xlfn.XLOOKUP(Sales_Data[[#This Row],[Product_ID]],products!A:A,products!B:B,"Not Found")</f>
        <v>Monitor</v>
      </c>
      <c r="L332" t="str">
        <f>_xlfn.XLOOKUP(Sales_Data[[#This Row],[Product_ID]],products!A:A,products!C:C,"Not Found")</f>
        <v>Electronics</v>
      </c>
      <c r="M332" t="str">
        <f>_xlfn.XLOOKUP(C332,customers!A:A,customers!B:B,"Not Found")</f>
        <v>Akash Jain</v>
      </c>
      <c r="N332" t="str">
        <f>_xlfn.XLOOKUP(C331,customers!A:A,customers!C:C,"Not Found")</f>
        <v>Nagpur</v>
      </c>
      <c r="O332" t="str">
        <f>IF(Sales_Data[[#This Row],[Total_Sales]]&gt;=50000,"High","Low")</f>
        <v>High</v>
      </c>
    </row>
    <row r="333" spans="1:15" x14ac:dyDescent="0.3">
      <c r="A333">
        <v>1332</v>
      </c>
      <c r="B333" s="4">
        <v>46159</v>
      </c>
      <c r="C333" t="s">
        <v>12</v>
      </c>
      <c r="D333" t="s">
        <v>66</v>
      </c>
      <c r="E333">
        <v>1</v>
      </c>
      <c r="F333">
        <v>30000</v>
      </c>
      <c r="G333" t="s">
        <v>75</v>
      </c>
      <c r="H333" t="s">
        <v>88</v>
      </c>
      <c r="I333" t="s">
        <v>87</v>
      </c>
      <c r="J333">
        <v>30000</v>
      </c>
      <c r="K333" t="str">
        <f>_xlfn.XLOOKUP(Sales_Data[[#This Row],[Product_ID]],products!A:A,products!B:B,"Not Found")</f>
        <v>Smartphone</v>
      </c>
      <c r="L333" t="str">
        <f>_xlfn.XLOOKUP(Sales_Data[[#This Row],[Product_ID]],products!A:A,products!C:C,"Not Found")</f>
        <v>Electronics</v>
      </c>
      <c r="M333" t="str">
        <f>_xlfn.XLOOKUP(C333,customers!A:A,customers!B:B,"Not Found")</f>
        <v>Sneha Joshi</v>
      </c>
      <c r="N333" t="str">
        <f>_xlfn.XLOOKUP(C332,customers!A:A,customers!C:C,"Not Found")</f>
        <v>Nashik</v>
      </c>
      <c r="O333" t="str">
        <f>IF(Sales_Data[[#This Row],[Total_Sales]]&gt;=50000,"High","Low")</f>
        <v>Low</v>
      </c>
    </row>
    <row r="334" spans="1:15" x14ac:dyDescent="0.3">
      <c r="A334">
        <v>1333</v>
      </c>
      <c r="B334" s="4">
        <v>46124</v>
      </c>
      <c r="C334" t="s">
        <v>38</v>
      </c>
      <c r="D334" t="s">
        <v>46</v>
      </c>
      <c r="E334">
        <v>8</v>
      </c>
      <c r="F334">
        <v>55000</v>
      </c>
      <c r="G334" t="s">
        <v>75</v>
      </c>
      <c r="H334" t="s">
        <v>83</v>
      </c>
      <c r="I334" t="s">
        <v>77</v>
      </c>
      <c r="J334">
        <v>440000</v>
      </c>
      <c r="K334" t="str">
        <f>_xlfn.XLOOKUP(Sales_Data[[#This Row],[Product_ID]],products!A:A,products!B:B,"Not Found")</f>
        <v>Laptop</v>
      </c>
      <c r="L334" t="str">
        <f>_xlfn.XLOOKUP(Sales_Data[[#This Row],[Product_ID]],products!A:A,products!C:C,"Not Found")</f>
        <v>Electronics</v>
      </c>
      <c r="M334" t="str">
        <f>_xlfn.XLOOKUP(C334,customers!A:A,customers!B:B,"Not Found")</f>
        <v>Komal Pawar</v>
      </c>
      <c r="N334" t="str">
        <f>_xlfn.XLOOKUP(C333,customers!A:A,customers!C:C,"Not Found")</f>
        <v>Nashik</v>
      </c>
      <c r="O334" t="str">
        <f>IF(Sales_Data[[#This Row],[Total_Sales]]&gt;=50000,"High","Low")</f>
        <v>High</v>
      </c>
    </row>
    <row r="335" spans="1:15" x14ac:dyDescent="0.3">
      <c r="A335">
        <v>1334</v>
      </c>
      <c r="B335" s="4">
        <v>46168</v>
      </c>
      <c r="C335" t="s">
        <v>15</v>
      </c>
      <c r="D335" t="s">
        <v>46</v>
      </c>
      <c r="E335">
        <v>2</v>
      </c>
      <c r="F335">
        <v>55000</v>
      </c>
      <c r="G335" t="s">
        <v>82</v>
      </c>
      <c r="H335" t="s">
        <v>83</v>
      </c>
      <c r="I335" t="s">
        <v>81</v>
      </c>
      <c r="J335">
        <v>110000</v>
      </c>
      <c r="K335" t="str">
        <f>_xlfn.XLOOKUP(Sales_Data[[#This Row],[Product_ID]],products!A:A,products!B:B,"Not Found")</f>
        <v>Laptop</v>
      </c>
      <c r="L335" t="str">
        <f>_xlfn.XLOOKUP(Sales_Data[[#This Row],[Product_ID]],products!A:A,products!C:C,"Not Found")</f>
        <v>Electronics</v>
      </c>
      <c r="M335" t="str">
        <f>_xlfn.XLOOKUP(C335,customers!A:A,customers!B:B,"Not Found")</f>
        <v>Rohit Singh</v>
      </c>
      <c r="N335" t="str">
        <f>_xlfn.XLOOKUP(C334,customers!A:A,customers!C:C,"Not Found")</f>
        <v>Indore</v>
      </c>
      <c r="O335" t="str">
        <f>IF(Sales_Data[[#This Row],[Total_Sales]]&gt;=50000,"High","Low")</f>
        <v>High</v>
      </c>
    </row>
    <row r="336" spans="1:15" x14ac:dyDescent="0.3">
      <c r="A336">
        <v>1335</v>
      </c>
      <c r="B336" s="4">
        <v>46149</v>
      </c>
      <c r="C336" t="s">
        <v>27</v>
      </c>
      <c r="D336" t="s">
        <v>64</v>
      </c>
      <c r="E336">
        <v>3</v>
      </c>
      <c r="F336">
        <v>900</v>
      </c>
      <c r="G336" t="s">
        <v>80</v>
      </c>
      <c r="H336" t="s">
        <v>88</v>
      </c>
      <c r="I336" t="s">
        <v>85</v>
      </c>
      <c r="J336">
        <v>2700</v>
      </c>
      <c r="K336" t="str">
        <f>_xlfn.XLOOKUP(Sales_Data[[#This Row],[Product_ID]],products!A:A,products!B:B,"Not Found")</f>
        <v>USB Drive</v>
      </c>
      <c r="L336" t="str">
        <f>_xlfn.XLOOKUP(Sales_Data[[#This Row],[Product_ID]],products!A:A,products!C:C,"Not Found")</f>
        <v>Accessories</v>
      </c>
      <c r="M336" t="str">
        <f>_xlfn.XLOOKUP(C336,customers!A:A,customers!B:B,"Not Found")</f>
        <v>Vikas Yadav</v>
      </c>
      <c r="N336" t="str">
        <f>_xlfn.XLOOKUP(C335,customers!A:A,customers!C:C,"Not Found")</f>
        <v>Delhi</v>
      </c>
      <c r="O336" t="str">
        <f>IF(Sales_Data[[#This Row],[Total_Sales]]&gt;=50000,"High","Low")</f>
        <v>Low</v>
      </c>
    </row>
    <row r="337" spans="1:15" x14ac:dyDescent="0.3">
      <c r="A337">
        <v>1336</v>
      </c>
      <c r="B337" s="4">
        <v>46051</v>
      </c>
      <c r="C337" t="s">
        <v>36</v>
      </c>
      <c r="D337" t="s">
        <v>54</v>
      </c>
      <c r="E337">
        <v>6</v>
      </c>
      <c r="F337">
        <v>15000</v>
      </c>
      <c r="G337" t="s">
        <v>75</v>
      </c>
      <c r="H337" t="s">
        <v>88</v>
      </c>
      <c r="I337" t="s">
        <v>85</v>
      </c>
      <c r="J337">
        <v>90000</v>
      </c>
      <c r="K337" t="str">
        <f>_xlfn.XLOOKUP(Sales_Data[[#This Row],[Product_ID]],products!A:A,products!B:B,"Not Found")</f>
        <v>Monitor</v>
      </c>
      <c r="L337" t="str">
        <f>_xlfn.XLOOKUP(Sales_Data[[#This Row],[Product_ID]],products!A:A,products!C:C,"Not Found")</f>
        <v>Electronics</v>
      </c>
      <c r="M337" t="str">
        <f>_xlfn.XLOOKUP(C337,customers!A:A,customers!B:B,"Not Found")</f>
        <v>Akash Jain</v>
      </c>
      <c r="N337" t="str">
        <f>_xlfn.XLOOKUP(C336,customers!A:A,customers!C:C,"Not Found")</f>
        <v>Thane</v>
      </c>
      <c r="O337" t="str">
        <f>IF(Sales_Data[[#This Row],[Total_Sales]]&gt;=50000,"High","Low")</f>
        <v>High</v>
      </c>
    </row>
    <row r="338" spans="1:15" x14ac:dyDescent="0.3">
      <c r="A338">
        <v>1337</v>
      </c>
      <c r="B338" s="4">
        <v>46109</v>
      </c>
      <c r="C338" t="s">
        <v>3</v>
      </c>
      <c r="D338" t="s">
        <v>52</v>
      </c>
      <c r="E338">
        <v>5</v>
      </c>
      <c r="F338">
        <v>800</v>
      </c>
      <c r="G338" t="s">
        <v>80</v>
      </c>
      <c r="H338" t="s">
        <v>76</v>
      </c>
      <c r="I338" t="s">
        <v>87</v>
      </c>
      <c r="J338">
        <v>4000</v>
      </c>
      <c r="K338" t="str">
        <f>_xlfn.XLOOKUP(Sales_Data[[#This Row],[Product_ID]],products!A:A,products!B:B,"Not Found")</f>
        <v>Mouse</v>
      </c>
      <c r="L338" t="str">
        <f>_xlfn.XLOOKUP(Sales_Data[[#This Row],[Product_ID]],products!A:A,products!C:C,"Not Found")</f>
        <v>Accessories</v>
      </c>
      <c r="M338" t="str">
        <f>_xlfn.XLOOKUP(C338,customers!A:A,customers!B:B,"Not Found")</f>
        <v>Rahul Sharma</v>
      </c>
      <c r="N338" t="str">
        <f>_xlfn.XLOOKUP(C337,customers!A:A,customers!C:C,"Not Found")</f>
        <v>Nashik</v>
      </c>
      <c r="O338" t="str">
        <f>IF(Sales_Data[[#This Row],[Total_Sales]]&gt;=50000,"High","Low")</f>
        <v>Low</v>
      </c>
    </row>
    <row r="339" spans="1:15" x14ac:dyDescent="0.3">
      <c r="A339">
        <v>1338</v>
      </c>
      <c r="B339" s="4">
        <v>46186</v>
      </c>
      <c r="C339" t="s">
        <v>38</v>
      </c>
      <c r="D339" t="s">
        <v>66</v>
      </c>
      <c r="E339">
        <v>7</v>
      </c>
      <c r="F339">
        <v>30000</v>
      </c>
      <c r="G339" t="s">
        <v>89</v>
      </c>
      <c r="H339" t="s">
        <v>84</v>
      </c>
      <c r="I339" t="s">
        <v>85</v>
      </c>
      <c r="J339">
        <v>210000</v>
      </c>
      <c r="K339" t="str">
        <f>_xlfn.XLOOKUP(Sales_Data[[#This Row],[Product_ID]],products!A:A,products!B:B,"Not Found")</f>
        <v>Smartphone</v>
      </c>
      <c r="L339" t="str">
        <f>_xlfn.XLOOKUP(Sales_Data[[#This Row],[Product_ID]],products!A:A,products!C:C,"Not Found")</f>
        <v>Electronics</v>
      </c>
      <c r="M339" t="str">
        <f>_xlfn.XLOOKUP(C339,customers!A:A,customers!B:B,"Not Found")</f>
        <v>Komal Pawar</v>
      </c>
      <c r="N339" t="str">
        <f>_xlfn.XLOOKUP(C338,customers!A:A,customers!C:C,"Not Found")</f>
        <v>Nagpur</v>
      </c>
      <c r="O339" t="str">
        <f>IF(Sales_Data[[#This Row],[Total_Sales]]&gt;=50000,"High","Low")</f>
        <v>High</v>
      </c>
    </row>
    <row r="340" spans="1:15" x14ac:dyDescent="0.3">
      <c r="A340">
        <v>1339</v>
      </c>
      <c r="B340" s="4">
        <v>46194</v>
      </c>
      <c r="C340" t="s">
        <v>21</v>
      </c>
      <c r="D340" t="s">
        <v>49</v>
      </c>
      <c r="E340">
        <v>2</v>
      </c>
      <c r="F340">
        <v>2500</v>
      </c>
      <c r="G340" t="s">
        <v>75</v>
      </c>
      <c r="H340" t="s">
        <v>76</v>
      </c>
      <c r="I340" t="s">
        <v>81</v>
      </c>
      <c r="J340">
        <v>5000</v>
      </c>
      <c r="K340" t="str">
        <f>_xlfn.XLOOKUP(Sales_Data[[#This Row],[Product_ID]],products!A:A,products!B:B,"Not Found")</f>
        <v>Keyboard</v>
      </c>
      <c r="L340" t="str">
        <f>_xlfn.XLOOKUP(Sales_Data[[#This Row],[Product_ID]],products!A:A,products!C:C,"Not Found")</f>
        <v>Accessories</v>
      </c>
      <c r="M340" t="str">
        <f>_xlfn.XLOOKUP(C340,customers!A:A,customers!B:B,"Not Found")</f>
        <v>Karan Mehta</v>
      </c>
      <c r="N340" t="str">
        <f>_xlfn.XLOOKUP(C339,customers!A:A,customers!C:C,"Not Found")</f>
        <v>Indore</v>
      </c>
      <c r="O340" t="str">
        <f>IF(Sales_Data[[#This Row],[Total_Sales]]&gt;=50000,"High","Low")</f>
        <v>Low</v>
      </c>
    </row>
    <row r="341" spans="1:15" x14ac:dyDescent="0.3">
      <c r="A341">
        <v>1340</v>
      </c>
      <c r="B341" s="4">
        <v>46086</v>
      </c>
      <c r="C341" t="s">
        <v>40</v>
      </c>
      <c r="D341" t="s">
        <v>58</v>
      </c>
      <c r="E341">
        <v>1</v>
      </c>
      <c r="F341">
        <v>12000</v>
      </c>
      <c r="G341" t="s">
        <v>82</v>
      </c>
      <c r="H341" t="s">
        <v>88</v>
      </c>
      <c r="I341" t="s">
        <v>87</v>
      </c>
      <c r="J341">
        <v>12000</v>
      </c>
      <c r="K341" t="str">
        <f>_xlfn.XLOOKUP(Sales_Data[[#This Row],[Product_ID]],products!A:A,products!B:B,"Not Found")</f>
        <v>Printer</v>
      </c>
      <c r="L341" t="str">
        <f>_xlfn.XLOOKUP(Sales_Data[[#This Row],[Product_ID]],products!A:A,products!C:C,"Not Found")</f>
        <v>Electronics</v>
      </c>
      <c r="M341" t="str">
        <f>_xlfn.XLOOKUP(C341,customers!A:A,customers!B:B,"Not Found")</f>
        <v>Nitin More</v>
      </c>
      <c r="N341" t="str">
        <f>_xlfn.XLOOKUP(C340,customers!A:A,customers!C:C,"Not Found")</f>
        <v>Bhopal</v>
      </c>
      <c r="O341" t="str">
        <f>IF(Sales_Data[[#This Row],[Total_Sales]]&gt;=50000,"High","Low")</f>
        <v>Low</v>
      </c>
    </row>
    <row r="342" spans="1:15" x14ac:dyDescent="0.3">
      <c r="A342">
        <v>1341</v>
      </c>
      <c r="B342" s="4">
        <v>46091</v>
      </c>
      <c r="C342" t="s">
        <v>36</v>
      </c>
      <c r="D342" t="s">
        <v>62</v>
      </c>
      <c r="E342">
        <v>6</v>
      </c>
      <c r="F342">
        <v>3000</v>
      </c>
      <c r="G342" t="s">
        <v>82</v>
      </c>
      <c r="H342" t="s">
        <v>84</v>
      </c>
      <c r="I342" t="s">
        <v>77</v>
      </c>
      <c r="J342">
        <v>18000</v>
      </c>
      <c r="K342" t="str">
        <f>_xlfn.XLOOKUP(Sales_Data[[#This Row],[Product_ID]],products!A:A,products!B:B,"Not Found")</f>
        <v>Webcam</v>
      </c>
      <c r="L342" t="str">
        <f>_xlfn.XLOOKUP(Sales_Data[[#This Row],[Product_ID]],products!A:A,products!C:C,"Not Found")</f>
        <v>Accessories</v>
      </c>
      <c r="M342" t="str">
        <f>_xlfn.XLOOKUP(C342,customers!A:A,customers!B:B,"Not Found")</f>
        <v>Akash Jain</v>
      </c>
      <c r="N342" t="str">
        <f>_xlfn.XLOOKUP(C341,customers!A:A,customers!C:C,"Not Found")</f>
        <v>Nagpur</v>
      </c>
      <c r="O342" t="str">
        <f>IF(Sales_Data[[#This Row],[Total_Sales]]&gt;=50000,"High","Low")</f>
        <v>Low</v>
      </c>
    </row>
    <row r="343" spans="1:15" x14ac:dyDescent="0.3">
      <c r="A343">
        <v>1342</v>
      </c>
      <c r="B343" s="4">
        <v>46115</v>
      </c>
      <c r="C343" t="s">
        <v>32</v>
      </c>
      <c r="D343" t="s">
        <v>56</v>
      </c>
      <c r="E343">
        <v>4</v>
      </c>
      <c r="F343">
        <v>3500</v>
      </c>
      <c r="G343" t="s">
        <v>78</v>
      </c>
      <c r="H343" t="s">
        <v>79</v>
      </c>
      <c r="I343" t="s">
        <v>81</v>
      </c>
      <c r="J343">
        <v>14000</v>
      </c>
      <c r="K343" t="str">
        <f>_xlfn.XLOOKUP(Sales_Data[[#This Row],[Product_ID]],products!A:A,products!B:B,"Not Found")</f>
        <v>Headphones</v>
      </c>
      <c r="L343" t="str">
        <f>_xlfn.XLOOKUP(Sales_Data[[#This Row],[Product_ID]],products!A:A,products!C:C,"Not Found")</f>
        <v>Accessories</v>
      </c>
      <c r="M343" t="str">
        <f>_xlfn.XLOOKUP(C343,customers!A:A,customers!B:B,"Not Found")</f>
        <v>Sahil Khan</v>
      </c>
      <c r="N343" t="str">
        <f>_xlfn.XLOOKUP(C342,customers!A:A,customers!C:C,"Not Found")</f>
        <v>Nashik</v>
      </c>
      <c r="O343" t="str">
        <f>IF(Sales_Data[[#This Row],[Total_Sales]]&gt;=50000,"High","Low")</f>
        <v>Low</v>
      </c>
    </row>
    <row r="344" spans="1:15" x14ac:dyDescent="0.3">
      <c r="A344">
        <v>1343</v>
      </c>
      <c r="B344" s="4">
        <v>46126</v>
      </c>
      <c r="C344" t="s">
        <v>9</v>
      </c>
      <c r="D344" t="s">
        <v>56</v>
      </c>
      <c r="E344">
        <v>5</v>
      </c>
      <c r="F344">
        <v>3500</v>
      </c>
      <c r="G344" t="s">
        <v>86</v>
      </c>
      <c r="H344" t="s">
        <v>79</v>
      </c>
      <c r="I344" t="s">
        <v>85</v>
      </c>
      <c r="J344">
        <v>17500</v>
      </c>
      <c r="K344" t="str">
        <f>_xlfn.XLOOKUP(Sales_Data[[#This Row],[Product_ID]],products!A:A,products!B:B,"Not Found")</f>
        <v>Headphones</v>
      </c>
      <c r="L344" t="str">
        <f>_xlfn.XLOOKUP(Sales_Data[[#This Row],[Product_ID]],products!A:A,products!C:C,"Not Found")</f>
        <v>Accessories</v>
      </c>
      <c r="M344" t="str">
        <f>_xlfn.XLOOKUP(C344,customers!A:A,customers!B:B,"Not Found")</f>
        <v>Amit Verma</v>
      </c>
      <c r="N344" t="str">
        <f>_xlfn.XLOOKUP(C343,customers!A:A,customers!C:C,"Not Found")</f>
        <v>Pune</v>
      </c>
      <c r="O344" t="str">
        <f>IF(Sales_Data[[#This Row],[Total_Sales]]&gt;=50000,"High","Low")</f>
        <v>Low</v>
      </c>
    </row>
    <row r="345" spans="1:15" x14ac:dyDescent="0.3">
      <c r="A345">
        <v>1344</v>
      </c>
      <c r="B345" s="4">
        <v>46079</v>
      </c>
      <c r="C345" t="s">
        <v>30</v>
      </c>
      <c r="D345" t="s">
        <v>58</v>
      </c>
      <c r="E345">
        <v>4</v>
      </c>
      <c r="F345">
        <v>12000</v>
      </c>
      <c r="G345" t="s">
        <v>75</v>
      </c>
      <c r="H345" t="s">
        <v>88</v>
      </c>
      <c r="I345" t="s">
        <v>87</v>
      </c>
      <c r="J345">
        <v>48000</v>
      </c>
      <c r="K345" t="str">
        <f>_xlfn.XLOOKUP(Sales_Data[[#This Row],[Product_ID]],products!A:A,products!B:B,"Not Found")</f>
        <v>Printer</v>
      </c>
      <c r="L345" t="str">
        <f>_xlfn.XLOOKUP(Sales_Data[[#This Row],[Product_ID]],products!A:A,products!C:C,"Not Found")</f>
        <v>Electronics</v>
      </c>
      <c r="M345" t="str">
        <f>_xlfn.XLOOKUP(C345,customers!A:A,customers!B:B,"Not Found")</f>
        <v>Anjali Kulkarni</v>
      </c>
      <c r="N345" t="str">
        <f>_xlfn.XLOOKUP(C344,customers!A:A,customers!C:C,"Not Found")</f>
        <v>Mumbai</v>
      </c>
      <c r="O345" t="str">
        <f>IF(Sales_Data[[#This Row],[Total_Sales]]&gt;=50000,"High","Low")</f>
        <v>Low</v>
      </c>
    </row>
    <row r="346" spans="1:15" x14ac:dyDescent="0.3">
      <c r="A346">
        <v>1345</v>
      </c>
      <c r="B346" s="4">
        <v>46178</v>
      </c>
      <c r="C346" t="s">
        <v>34</v>
      </c>
      <c r="D346" t="s">
        <v>62</v>
      </c>
      <c r="E346">
        <v>6</v>
      </c>
      <c r="F346">
        <v>3000</v>
      </c>
      <c r="G346" t="s">
        <v>89</v>
      </c>
      <c r="H346" t="s">
        <v>84</v>
      </c>
      <c r="I346" t="s">
        <v>81</v>
      </c>
      <c r="J346">
        <v>18000</v>
      </c>
      <c r="K346" t="str">
        <f>_xlfn.XLOOKUP(Sales_Data[[#This Row],[Product_ID]],products!A:A,products!B:B,"Not Found")</f>
        <v>Webcam</v>
      </c>
      <c r="L346" t="str">
        <f>_xlfn.XLOOKUP(Sales_Data[[#This Row],[Product_ID]],products!A:A,products!C:C,"Not Found")</f>
        <v>Accessories</v>
      </c>
      <c r="M346" t="str">
        <f>_xlfn.XLOOKUP(C346,customers!A:A,customers!B:B,"Not Found")</f>
        <v>Riya Shah</v>
      </c>
      <c r="N346" t="str">
        <f>_xlfn.XLOOKUP(C345,customers!A:A,customers!C:C,"Not Found")</f>
        <v>Nagpur</v>
      </c>
      <c r="O346" t="str">
        <f>IF(Sales_Data[[#This Row],[Total_Sales]]&gt;=50000,"High","Low")</f>
        <v>Low</v>
      </c>
    </row>
    <row r="347" spans="1:15" x14ac:dyDescent="0.3">
      <c r="A347">
        <v>1346</v>
      </c>
      <c r="B347" s="4">
        <v>46193</v>
      </c>
      <c r="C347" t="s">
        <v>36</v>
      </c>
      <c r="D347" t="s">
        <v>64</v>
      </c>
      <c r="E347">
        <v>4</v>
      </c>
      <c r="F347">
        <v>900</v>
      </c>
      <c r="G347" t="s">
        <v>75</v>
      </c>
      <c r="H347" t="s">
        <v>84</v>
      </c>
      <c r="I347" t="s">
        <v>77</v>
      </c>
      <c r="J347">
        <v>3600</v>
      </c>
      <c r="K347" t="str">
        <f>_xlfn.XLOOKUP(Sales_Data[[#This Row],[Product_ID]],products!A:A,products!B:B,"Not Found")</f>
        <v>USB Drive</v>
      </c>
      <c r="L347" t="str">
        <f>_xlfn.XLOOKUP(Sales_Data[[#This Row],[Product_ID]],products!A:A,products!C:C,"Not Found")</f>
        <v>Accessories</v>
      </c>
      <c r="M347" t="str">
        <f>_xlfn.XLOOKUP(C347,customers!A:A,customers!B:B,"Not Found")</f>
        <v>Akash Jain</v>
      </c>
      <c r="N347" t="str">
        <f>_xlfn.XLOOKUP(C346,customers!A:A,customers!C:C,"Not Found")</f>
        <v>Mumbai</v>
      </c>
      <c r="O347" t="str">
        <f>IF(Sales_Data[[#This Row],[Total_Sales]]&gt;=50000,"High","Low")</f>
        <v>Low</v>
      </c>
    </row>
    <row r="348" spans="1:15" x14ac:dyDescent="0.3">
      <c r="A348">
        <v>1347</v>
      </c>
      <c r="B348" s="4">
        <v>46158</v>
      </c>
      <c r="C348" t="s">
        <v>24</v>
      </c>
      <c r="D348" t="s">
        <v>64</v>
      </c>
      <c r="E348">
        <v>6</v>
      </c>
      <c r="F348">
        <v>900</v>
      </c>
      <c r="G348" t="s">
        <v>78</v>
      </c>
      <c r="H348" t="s">
        <v>84</v>
      </c>
      <c r="I348" t="s">
        <v>77</v>
      </c>
      <c r="J348">
        <v>5400</v>
      </c>
      <c r="K348" t="str">
        <f>_xlfn.XLOOKUP(Sales_Data[[#This Row],[Product_ID]],products!A:A,products!B:B,"Not Found")</f>
        <v>USB Drive</v>
      </c>
      <c r="L348" t="str">
        <f>_xlfn.XLOOKUP(Sales_Data[[#This Row],[Product_ID]],products!A:A,products!C:C,"Not Found")</f>
        <v>Accessories</v>
      </c>
      <c r="M348" t="str">
        <f>_xlfn.XLOOKUP(C348,customers!A:A,customers!B:B,"Not Found")</f>
        <v>Pooja Deshmukh</v>
      </c>
      <c r="N348" t="str">
        <f>_xlfn.XLOOKUP(C347,customers!A:A,customers!C:C,"Not Found")</f>
        <v>Nashik</v>
      </c>
      <c r="O348" t="str">
        <f>IF(Sales_Data[[#This Row],[Total_Sales]]&gt;=50000,"High","Low")</f>
        <v>Low</v>
      </c>
    </row>
    <row r="349" spans="1:15" x14ac:dyDescent="0.3">
      <c r="A349">
        <v>1348</v>
      </c>
      <c r="B349" s="4">
        <v>46163</v>
      </c>
      <c r="C349" t="s">
        <v>38</v>
      </c>
      <c r="D349" t="s">
        <v>46</v>
      </c>
      <c r="E349">
        <v>4</v>
      </c>
      <c r="F349">
        <v>55000</v>
      </c>
      <c r="G349" t="s">
        <v>80</v>
      </c>
      <c r="H349" t="s">
        <v>84</v>
      </c>
      <c r="I349" t="s">
        <v>87</v>
      </c>
      <c r="J349">
        <v>220000</v>
      </c>
      <c r="K349" t="str">
        <f>_xlfn.XLOOKUP(Sales_Data[[#This Row],[Product_ID]],products!A:A,products!B:B,"Not Found")</f>
        <v>Laptop</v>
      </c>
      <c r="L349" t="str">
        <f>_xlfn.XLOOKUP(Sales_Data[[#This Row],[Product_ID]],products!A:A,products!C:C,"Not Found")</f>
        <v>Electronics</v>
      </c>
      <c r="M349" t="str">
        <f>_xlfn.XLOOKUP(C349,customers!A:A,customers!B:B,"Not Found")</f>
        <v>Komal Pawar</v>
      </c>
      <c r="N349" t="str">
        <f>_xlfn.XLOOKUP(C348,customers!A:A,customers!C:C,"Not Found")</f>
        <v>Aurangabad</v>
      </c>
      <c r="O349" t="str">
        <f>IF(Sales_Data[[#This Row],[Total_Sales]]&gt;=50000,"High","Low")</f>
        <v>High</v>
      </c>
    </row>
    <row r="350" spans="1:15" x14ac:dyDescent="0.3">
      <c r="A350">
        <v>1349</v>
      </c>
      <c r="B350" s="4">
        <v>46156</v>
      </c>
      <c r="C350" t="s">
        <v>18</v>
      </c>
      <c r="D350" t="s">
        <v>52</v>
      </c>
      <c r="E350">
        <v>8</v>
      </c>
      <c r="F350">
        <v>800</v>
      </c>
      <c r="G350" t="s">
        <v>78</v>
      </c>
      <c r="H350" t="s">
        <v>76</v>
      </c>
      <c r="I350" t="s">
        <v>81</v>
      </c>
      <c r="J350">
        <v>6400</v>
      </c>
      <c r="K350" t="str">
        <f>_xlfn.XLOOKUP(Sales_Data[[#This Row],[Product_ID]],products!A:A,products!B:B,"Not Found")</f>
        <v>Mouse</v>
      </c>
      <c r="L350" t="str">
        <f>_xlfn.XLOOKUP(Sales_Data[[#This Row],[Product_ID]],products!A:A,products!C:C,"Not Found")</f>
        <v>Accessories</v>
      </c>
      <c r="M350" t="str">
        <f>_xlfn.XLOOKUP(C350,customers!A:A,customers!B:B,"Not Found")</f>
        <v>Neha Gupta</v>
      </c>
      <c r="N350" t="str">
        <f>_xlfn.XLOOKUP(C349,customers!A:A,customers!C:C,"Not Found")</f>
        <v>Indore</v>
      </c>
      <c r="O350" t="str">
        <f>IF(Sales_Data[[#This Row],[Total_Sales]]&gt;=50000,"High","Low")</f>
        <v>Low</v>
      </c>
    </row>
    <row r="351" spans="1:15" x14ac:dyDescent="0.3">
      <c r="A351">
        <v>1350</v>
      </c>
      <c r="B351" s="4">
        <v>46153</v>
      </c>
      <c r="C351" t="s">
        <v>40</v>
      </c>
      <c r="D351" t="s">
        <v>49</v>
      </c>
      <c r="E351">
        <v>8</v>
      </c>
      <c r="F351">
        <v>2500</v>
      </c>
      <c r="G351" t="s">
        <v>78</v>
      </c>
      <c r="H351" t="s">
        <v>88</v>
      </c>
      <c r="I351" t="s">
        <v>87</v>
      </c>
      <c r="J351">
        <v>20000</v>
      </c>
      <c r="K351" t="str">
        <f>_xlfn.XLOOKUP(Sales_Data[[#This Row],[Product_ID]],products!A:A,products!B:B,"Not Found")</f>
        <v>Keyboard</v>
      </c>
      <c r="L351" t="str">
        <f>_xlfn.XLOOKUP(Sales_Data[[#This Row],[Product_ID]],products!A:A,products!C:C,"Not Found")</f>
        <v>Accessories</v>
      </c>
      <c r="M351" t="str">
        <f>_xlfn.XLOOKUP(C351,customers!A:A,customers!B:B,"Not Found")</f>
        <v>Nitin More</v>
      </c>
      <c r="N351" t="str">
        <f>_xlfn.XLOOKUP(C350,customers!A:A,customers!C:C,"Not Found")</f>
        <v>Indore</v>
      </c>
      <c r="O351" t="str">
        <f>IF(Sales_Data[[#This Row],[Total_Sales]]&gt;=50000,"High","Low")</f>
        <v>Low</v>
      </c>
    </row>
    <row r="352" spans="1:15" x14ac:dyDescent="0.3">
      <c r="A352">
        <v>1351</v>
      </c>
      <c r="B352" s="4">
        <v>46139</v>
      </c>
      <c r="C352" t="s">
        <v>21</v>
      </c>
      <c r="D352" t="s">
        <v>64</v>
      </c>
      <c r="E352">
        <v>1</v>
      </c>
      <c r="F352">
        <v>900</v>
      </c>
      <c r="G352" t="s">
        <v>80</v>
      </c>
      <c r="H352" t="s">
        <v>88</v>
      </c>
      <c r="I352" t="s">
        <v>85</v>
      </c>
      <c r="J352">
        <v>900</v>
      </c>
      <c r="K352" t="str">
        <f>_xlfn.XLOOKUP(Sales_Data[[#This Row],[Product_ID]],products!A:A,products!B:B,"Not Found")</f>
        <v>USB Drive</v>
      </c>
      <c r="L352" t="str">
        <f>_xlfn.XLOOKUP(Sales_Data[[#This Row],[Product_ID]],products!A:A,products!C:C,"Not Found")</f>
        <v>Accessories</v>
      </c>
      <c r="M352" t="str">
        <f>_xlfn.XLOOKUP(C352,customers!A:A,customers!B:B,"Not Found")</f>
        <v>Karan Mehta</v>
      </c>
      <c r="N352" t="str">
        <f>_xlfn.XLOOKUP(C351,customers!A:A,customers!C:C,"Not Found")</f>
        <v>Nagpur</v>
      </c>
      <c r="O352" t="str">
        <f>IF(Sales_Data[[#This Row],[Total_Sales]]&gt;=50000,"High","Low")</f>
        <v>Low</v>
      </c>
    </row>
    <row r="353" spans="1:15" x14ac:dyDescent="0.3">
      <c r="A353">
        <v>1352</v>
      </c>
      <c r="B353" s="4">
        <v>46088</v>
      </c>
      <c r="C353" t="s">
        <v>21</v>
      </c>
      <c r="D353" t="s">
        <v>46</v>
      </c>
      <c r="E353">
        <v>1</v>
      </c>
      <c r="F353">
        <v>55000</v>
      </c>
      <c r="G353" t="s">
        <v>86</v>
      </c>
      <c r="H353" t="s">
        <v>76</v>
      </c>
      <c r="I353" t="s">
        <v>77</v>
      </c>
      <c r="J353">
        <v>55000</v>
      </c>
      <c r="K353" t="str">
        <f>_xlfn.XLOOKUP(Sales_Data[[#This Row],[Product_ID]],products!A:A,products!B:B,"Not Found")</f>
        <v>Laptop</v>
      </c>
      <c r="L353" t="str">
        <f>_xlfn.XLOOKUP(Sales_Data[[#This Row],[Product_ID]],products!A:A,products!C:C,"Not Found")</f>
        <v>Electronics</v>
      </c>
      <c r="M353" t="str">
        <f>_xlfn.XLOOKUP(C353,customers!A:A,customers!B:B,"Not Found")</f>
        <v>Karan Mehta</v>
      </c>
      <c r="N353" t="str">
        <f>_xlfn.XLOOKUP(C352,customers!A:A,customers!C:C,"Not Found")</f>
        <v>Bhopal</v>
      </c>
      <c r="O353" t="str">
        <f>IF(Sales_Data[[#This Row],[Total_Sales]]&gt;=50000,"High","Low")</f>
        <v>High</v>
      </c>
    </row>
    <row r="354" spans="1:15" x14ac:dyDescent="0.3">
      <c r="A354">
        <v>1353</v>
      </c>
      <c r="B354" s="4">
        <v>46111</v>
      </c>
      <c r="C354" t="s">
        <v>21</v>
      </c>
      <c r="D354" t="s">
        <v>46</v>
      </c>
      <c r="E354">
        <v>2</v>
      </c>
      <c r="F354">
        <v>55000</v>
      </c>
      <c r="G354" t="s">
        <v>80</v>
      </c>
      <c r="H354" t="s">
        <v>79</v>
      </c>
      <c r="I354" t="s">
        <v>77</v>
      </c>
      <c r="J354">
        <v>110000</v>
      </c>
      <c r="K354" t="str">
        <f>_xlfn.XLOOKUP(Sales_Data[[#This Row],[Product_ID]],products!A:A,products!B:B,"Not Found")</f>
        <v>Laptop</v>
      </c>
      <c r="L354" t="str">
        <f>_xlfn.XLOOKUP(Sales_Data[[#This Row],[Product_ID]],products!A:A,products!C:C,"Not Found")</f>
        <v>Electronics</v>
      </c>
      <c r="M354" t="str">
        <f>_xlfn.XLOOKUP(C354,customers!A:A,customers!B:B,"Not Found")</f>
        <v>Karan Mehta</v>
      </c>
      <c r="N354" t="str">
        <f>_xlfn.XLOOKUP(C353,customers!A:A,customers!C:C,"Not Found")</f>
        <v>Bhopal</v>
      </c>
      <c r="O354" t="str">
        <f>IF(Sales_Data[[#This Row],[Total_Sales]]&gt;=50000,"High","Low")</f>
        <v>High</v>
      </c>
    </row>
    <row r="355" spans="1:15" x14ac:dyDescent="0.3">
      <c r="A355">
        <v>1354</v>
      </c>
      <c r="B355" s="4">
        <v>46096</v>
      </c>
      <c r="C355" t="s">
        <v>3</v>
      </c>
      <c r="D355" t="s">
        <v>62</v>
      </c>
      <c r="E355">
        <v>7</v>
      </c>
      <c r="F355">
        <v>3000</v>
      </c>
      <c r="G355" t="s">
        <v>75</v>
      </c>
      <c r="H355" t="s">
        <v>76</v>
      </c>
      <c r="I355" t="s">
        <v>81</v>
      </c>
      <c r="J355">
        <v>21000</v>
      </c>
      <c r="K355" t="str">
        <f>_xlfn.XLOOKUP(Sales_Data[[#This Row],[Product_ID]],products!A:A,products!B:B,"Not Found")</f>
        <v>Webcam</v>
      </c>
      <c r="L355" t="str">
        <f>_xlfn.XLOOKUP(Sales_Data[[#This Row],[Product_ID]],products!A:A,products!C:C,"Not Found")</f>
        <v>Accessories</v>
      </c>
      <c r="M355" t="str">
        <f>_xlfn.XLOOKUP(C355,customers!A:A,customers!B:B,"Not Found")</f>
        <v>Rahul Sharma</v>
      </c>
      <c r="N355" t="str">
        <f>_xlfn.XLOOKUP(C354,customers!A:A,customers!C:C,"Not Found")</f>
        <v>Bhopal</v>
      </c>
      <c r="O355" t="str">
        <f>IF(Sales_Data[[#This Row],[Total_Sales]]&gt;=50000,"High","Low")</f>
        <v>Low</v>
      </c>
    </row>
    <row r="356" spans="1:15" x14ac:dyDescent="0.3">
      <c r="A356">
        <v>1355</v>
      </c>
      <c r="B356" s="4">
        <v>46120</v>
      </c>
      <c r="C356" t="s">
        <v>40</v>
      </c>
      <c r="D356" t="s">
        <v>58</v>
      </c>
      <c r="E356">
        <v>8</v>
      </c>
      <c r="F356">
        <v>12000</v>
      </c>
      <c r="G356" t="s">
        <v>89</v>
      </c>
      <c r="H356" t="s">
        <v>88</v>
      </c>
      <c r="I356" t="s">
        <v>77</v>
      </c>
      <c r="J356">
        <v>96000</v>
      </c>
      <c r="K356" t="str">
        <f>_xlfn.XLOOKUP(Sales_Data[[#This Row],[Product_ID]],products!A:A,products!B:B,"Not Found")</f>
        <v>Printer</v>
      </c>
      <c r="L356" t="str">
        <f>_xlfn.XLOOKUP(Sales_Data[[#This Row],[Product_ID]],products!A:A,products!C:C,"Not Found")</f>
        <v>Electronics</v>
      </c>
      <c r="M356" t="str">
        <f>_xlfn.XLOOKUP(C356,customers!A:A,customers!B:B,"Not Found")</f>
        <v>Nitin More</v>
      </c>
      <c r="N356" t="str">
        <f>_xlfn.XLOOKUP(C355,customers!A:A,customers!C:C,"Not Found")</f>
        <v>Nagpur</v>
      </c>
      <c r="O356" t="str">
        <f>IF(Sales_Data[[#This Row],[Total_Sales]]&gt;=50000,"High","Low")</f>
        <v>High</v>
      </c>
    </row>
    <row r="357" spans="1:15" x14ac:dyDescent="0.3">
      <c r="A357">
        <v>1356</v>
      </c>
      <c r="B357" s="4">
        <v>46190</v>
      </c>
      <c r="C357" t="s">
        <v>9</v>
      </c>
      <c r="D357" t="s">
        <v>64</v>
      </c>
      <c r="E357">
        <v>6</v>
      </c>
      <c r="F357">
        <v>900</v>
      </c>
      <c r="G357" t="s">
        <v>78</v>
      </c>
      <c r="H357" t="s">
        <v>76</v>
      </c>
      <c r="I357" t="s">
        <v>81</v>
      </c>
      <c r="J357">
        <v>5400</v>
      </c>
      <c r="K357" t="str">
        <f>_xlfn.XLOOKUP(Sales_Data[[#This Row],[Product_ID]],products!A:A,products!B:B,"Not Found")</f>
        <v>USB Drive</v>
      </c>
      <c r="L357" t="str">
        <f>_xlfn.XLOOKUP(Sales_Data[[#This Row],[Product_ID]],products!A:A,products!C:C,"Not Found")</f>
        <v>Accessories</v>
      </c>
      <c r="M357" t="str">
        <f>_xlfn.XLOOKUP(C357,customers!A:A,customers!B:B,"Not Found")</f>
        <v>Amit Verma</v>
      </c>
      <c r="N357" t="str">
        <f>_xlfn.XLOOKUP(C356,customers!A:A,customers!C:C,"Not Found")</f>
        <v>Nagpur</v>
      </c>
      <c r="O357" t="str">
        <f>IF(Sales_Data[[#This Row],[Total_Sales]]&gt;=50000,"High","Low")</f>
        <v>Low</v>
      </c>
    </row>
    <row r="358" spans="1:15" x14ac:dyDescent="0.3">
      <c r="A358">
        <v>1357</v>
      </c>
      <c r="B358" s="4">
        <v>46080</v>
      </c>
      <c r="C358" t="s">
        <v>9</v>
      </c>
      <c r="D358" t="s">
        <v>64</v>
      </c>
      <c r="E358">
        <v>1</v>
      </c>
      <c r="F358">
        <v>900</v>
      </c>
      <c r="G358" t="s">
        <v>78</v>
      </c>
      <c r="H358" t="s">
        <v>83</v>
      </c>
      <c r="I358" t="s">
        <v>81</v>
      </c>
      <c r="J358">
        <v>900</v>
      </c>
      <c r="K358" t="str">
        <f>_xlfn.XLOOKUP(Sales_Data[[#This Row],[Product_ID]],products!A:A,products!B:B,"Not Found")</f>
        <v>USB Drive</v>
      </c>
      <c r="L358" t="str">
        <f>_xlfn.XLOOKUP(Sales_Data[[#This Row],[Product_ID]],products!A:A,products!C:C,"Not Found")</f>
        <v>Accessories</v>
      </c>
      <c r="M358" t="str">
        <f>_xlfn.XLOOKUP(C358,customers!A:A,customers!B:B,"Not Found")</f>
        <v>Amit Verma</v>
      </c>
      <c r="N358" t="str">
        <f>_xlfn.XLOOKUP(C357,customers!A:A,customers!C:C,"Not Found")</f>
        <v>Mumbai</v>
      </c>
      <c r="O358" t="str">
        <f>IF(Sales_Data[[#This Row],[Total_Sales]]&gt;=50000,"High","Low")</f>
        <v>Low</v>
      </c>
    </row>
    <row r="359" spans="1:15" x14ac:dyDescent="0.3">
      <c r="A359">
        <v>1358</v>
      </c>
      <c r="B359" s="4">
        <v>46159</v>
      </c>
      <c r="C359" t="s">
        <v>21</v>
      </c>
      <c r="D359" t="s">
        <v>64</v>
      </c>
      <c r="E359">
        <v>7</v>
      </c>
      <c r="F359">
        <v>900</v>
      </c>
      <c r="G359" t="s">
        <v>75</v>
      </c>
      <c r="H359" t="s">
        <v>76</v>
      </c>
      <c r="I359" t="s">
        <v>81</v>
      </c>
      <c r="J359">
        <v>6300</v>
      </c>
      <c r="K359" t="str">
        <f>_xlfn.XLOOKUP(Sales_Data[[#This Row],[Product_ID]],products!A:A,products!B:B,"Not Found")</f>
        <v>USB Drive</v>
      </c>
      <c r="L359" t="str">
        <f>_xlfn.XLOOKUP(Sales_Data[[#This Row],[Product_ID]],products!A:A,products!C:C,"Not Found")</f>
        <v>Accessories</v>
      </c>
      <c r="M359" t="str">
        <f>_xlfn.XLOOKUP(C359,customers!A:A,customers!B:B,"Not Found")</f>
        <v>Karan Mehta</v>
      </c>
      <c r="N359" t="str">
        <f>_xlfn.XLOOKUP(C358,customers!A:A,customers!C:C,"Not Found")</f>
        <v>Mumbai</v>
      </c>
      <c r="O359" t="str">
        <f>IF(Sales_Data[[#This Row],[Total_Sales]]&gt;=50000,"High","Low")</f>
        <v>Low</v>
      </c>
    </row>
    <row r="360" spans="1:15" x14ac:dyDescent="0.3">
      <c r="A360">
        <v>1359</v>
      </c>
      <c r="B360" s="4">
        <v>46093</v>
      </c>
      <c r="C360" t="s">
        <v>9</v>
      </c>
      <c r="D360" t="s">
        <v>58</v>
      </c>
      <c r="E360">
        <v>4</v>
      </c>
      <c r="F360">
        <v>12000</v>
      </c>
      <c r="G360" t="s">
        <v>86</v>
      </c>
      <c r="H360" t="s">
        <v>79</v>
      </c>
      <c r="I360" t="s">
        <v>77</v>
      </c>
      <c r="J360">
        <v>48000</v>
      </c>
      <c r="K360" t="str">
        <f>_xlfn.XLOOKUP(Sales_Data[[#This Row],[Product_ID]],products!A:A,products!B:B,"Not Found")</f>
        <v>Printer</v>
      </c>
      <c r="L360" t="str">
        <f>_xlfn.XLOOKUP(Sales_Data[[#This Row],[Product_ID]],products!A:A,products!C:C,"Not Found")</f>
        <v>Electronics</v>
      </c>
      <c r="M360" t="str">
        <f>_xlfn.XLOOKUP(C360,customers!A:A,customers!B:B,"Not Found")</f>
        <v>Amit Verma</v>
      </c>
      <c r="N360" t="str">
        <f>_xlfn.XLOOKUP(C359,customers!A:A,customers!C:C,"Not Found")</f>
        <v>Bhopal</v>
      </c>
      <c r="O360" t="str">
        <f>IF(Sales_Data[[#This Row],[Total_Sales]]&gt;=50000,"High","Low")</f>
        <v>Low</v>
      </c>
    </row>
    <row r="361" spans="1:15" x14ac:dyDescent="0.3">
      <c r="A361">
        <v>1360</v>
      </c>
      <c r="B361" s="4">
        <v>46027</v>
      </c>
      <c r="C361" t="s">
        <v>30</v>
      </c>
      <c r="D361" t="s">
        <v>60</v>
      </c>
      <c r="E361">
        <v>4</v>
      </c>
      <c r="F361">
        <v>22000</v>
      </c>
      <c r="G361" t="s">
        <v>75</v>
      </c>
      <c r="H361" t="s">
        <v>79</v>
      </c>
      <c r="I361" t="s">
        <v>77</v>
      </c>
      <c r="J361">
        <v>88000</v>
      </c>
      <c r="K361" t="str">
        <f>_xlfn.XLOOKUP(Sales_Data[[#This Row],[Product_ID]],products!A:A,products!B:B,"Not Found")</f>
        <v>Tablet</v>
      </c>
      <c r="L361" t="str">
        <f>_xlfn.XLOOKUP(Sales_Data[[#This Row],[Product_ID]],products!A:A,products!C:C,"Not Found")</f>
        <v>Electronics</v>
      </c>
      <c r="M361" t="str">
        <f>_xlfn.XLOOKUP(C361,customers!A:A,customers!B:B,"Not Found")</f>
        <v>Anjali Kulkarni</v>
      </c>
      <c r="N361" t="str">
        <f>_xlfn.XLOOKUP(C360,customers!A:A,customers!C:C,"Not Found")</f>
        <v>Mumbai</v>
      </c>
      <c r="O361" t="str">
        <f>IF(Sales_Data[[#This Row],[Total_Sales]]&gt;=50000,"High","Low")</f>
        <v>High</v>
      </c>
    </row>
    <row r="362" spans="1:15" x14ac:dyDescent="0.3">
      <c r="A362">
        <v>1361</v>
      </c>
      <c r="B362" s="4">
        <v>46137</v>
      </c>
      <c r="C362" t="s">
        <v>3</v>
      </c>
      <c r="D362" t="s">
        <v>66</v>
      </c>
      <c r="E362">
        <v>1</v>
      </c>
      <c r="F362">
        <v>30000</v>
      </c>
      <c r="G362" t="s">
        <v>75</v>
      </c>
      <c r="H362" t="s">
        <v>79</v>
      </c>
      <c r="I362" t="s">
        <v>81</v>
      </c>
      <c r="J362">
        <v>30000</v>
      </c>
      <c r="K362" t="str">
        <f>_xlfn.XLOOKUP(Sales_Data[[#This Row],[Product_ID]],products!A:A,products!B:B,"Not Found")</f>
        <v>Smartphone</v>
      </c>
      <c r="L362" t="str">
        <f>_xlfn.XLOOKUP(Sales_Data[[#This Row],[Product_ID]],products!A:A,products!C:C,"Not Found")</f>
        <v>Electronics</v>
      </c>
      <c r="M362" t="str">
        <f>_xlfn.XLOOKUP(C362,customers!A:A,customers!B:B,"Not Found")</f>
        <v>Rahul Sharma</v>
      </c>
      <c r="N362" t="str">
        <f>_xlfn.XLOOKUP(C361,customers!A:A,customers!C:C,"Not Found")</f>
        <v>Nagpur</v>
      </c>
      <c r="O362" t="str">
        <f>IF(Sales_Data[[#This Row],[Total_Sales]]&gt;=50000,"High","Low")</f>
        <v>Low</v>
      </c>
    </row>
    <row r="363" spans="1:15" x14ac:dyDescent="0.3">
      <c r="A363">
        <v>1362</v>
      </c>
      <c r="B363" s="4">
        <v>46161</v>
      </c>
      <c r="C363" t="s">
        <v>12</v>
      </c>
      <c r="D363" t="s">
        <v>62</v>
      </c>
      <c r="E363">
        <v>4</v>
      </c>
      <c r="F363">
        <v>3000</v>
      </c>
      <c r="G363" t="s">
        <v>78</v>
      </c>
      <c r="H363" t="s">
        <v>76</v>
      </c>
      <c r="I363" t="s">
        <v>85</v>
      </c>
      <c r="J363">
        <v>12000</v>
      </c>
      <c r="K363" t="str">
        <f>_xlfn.XLOOKUP(Sales_Data[[#This Row],[Product_ID]],products!A:A,products!B:B,"Not Found")</f>
        <v>Webcam</v>
      </c>
      <c r="L363" t="str">
        <f>_xlfn.XLOOKUP(Sales_Data[[#This Row],[Product_ID]],products!A:A,products!C:C,"Not Found")</f>
        <v>Accessories</v>
      </c>
      <c r="M363" t="str">
        <f>_xlfn.XLOOKUP(C363,customers!A:A,customers!B:B,"Not Found")</f>
        <v>Sneha Joshi</v>
      </c>
      <c r="N363" t="str">
        <f>_xlfn.XLOOKUP(C362,customers!A:A,customers!C:C,"Not Found")</f>
        <v>Nagpur</v>
      </c>
      <c r="O363" t="str">
        <f>IF(Sales_Data[[#This Row],[Total_Sales]]&gt;=50000,"High","Low")</f>
        <v>Low</v>
      </c>
    </row>
    <row r="364" spans="1:15" x14ac:dyDescent="0.3">
      <c r="A364">
        <v>1363</v>
      </c>
      <c r="B364" s="4">
        <v>46170</v>
      </c>
      <c r="C364" t="s">
        <v>38</v>
      </c>
      <c r="D364" t="s">
        <v>54</v>
      </c>
      <c r="E364">
        <v>6</v>
      </c>
      <c r="F364">
        <v>15000</v>
      </c>
      <c r="G364" t="s">
        <v>80</v>
      </c>
      <c r="H364" t="s">
        <v>84</v>
      </c>
      <c r="I364" t="s">
        <v>85</v>
      </c>
      <c r="J364">
        <v>90000</v>
      </c>
      <c r="K364" t="str">
        <f>_xlfn.XLOOKUP(Sales_Data[[#This Row],[Product_ID]],products!A:A,products!B:B,"Not Found")</f>
        <v>Monitor</v>
      </c>
      <c r="L364" t="str">
        <f>_xlfn.XLOOKUP(Sales_Data[[#This Row],[Product_ID]],products!A:A,products!C:C,"Not Found")</f>
        <v>Electronics</v>
      </c>
      <c r="M364" t="str">
        <f>_xlfn.XLOOKUP(C364,customers!A:A,customers!B:B,"Not Found")</f>
        <v>Komal Pawar</v>
      </c>
      <c r="N364" t="str">
        <f>_xlfn.XLOOKUP(C363,customers!A:A,customers!C:C,"Not Found")</f>
        <v>Nashik</v>
      </c>
      <c r="O364" t="str">
        <f>IF(Sales_Data[[#This Row],[Total_Sales]]&gt;=50000,"High","Low")</f>
        <v>High</v>
      </c>
    </row>
    <row r="365" spans="1:15" x14ac:dyDescent="0.3">
      <c r="A365">
        <v>1364</v>
      </c>
      <c r="B365" s="4">
        <v>46059</v>
      </c>
      <c r="C365" t="s">
        <v>15</v>
      </c>
      <c r="D365" t="s">
        <v>54</v>
      </c>
      <c r="E365">
        <v>4</v>
      </c>
      <c r="F365">
        <v>15000</v>
      </c>
      <c r="G365" t="s">
        <v>89</v>
      </c>
      <c r="H365" t="s">
        <v>83</v>
      </c>
      <c r="I365" t="s">
        <v>85</v>
      </c>
      <c r="J365">
        <v>60000</v>
      </c>
      <c r="K365" t="str">
        <f>_xlfn.XLOOKUP(Sales_Data[[#This Row],[Product_ID]],products!A:A,products!B:B,"Not Found")</f>
        <v>Monitor</v>
      </c>
      <c r="L365" t="str">
        <f>_xlfn.XLOOKUP(Sales_Data[[#This Row],[Product_ID]],products!A:A,products!C:C,"Not Found")</f>
        <v>Electronics</v>
      </c>
      <c r="M365" t="str">
        <f>_xlfn.XLOOKUP(C365,customers!A:A,customers!B:B,"Not Found")</f>
        <v>Rohit Singh</v>
      </c>
      <c r="N365" t="str">
        <f>_xlfn.XLOOKUP(C364,customers!A:A,customers!C:C,"Not Found")</f>
        <v>Indore</v>
      </c>
      <c r="O365" t="str">
        <f>IF(Sales_Data[[#This Row],[Total_Sales]]&gt;=50000,"High","Low")</f>
        <v>High</v>
      </c>
    </row>
    <row r="366" spans="1:15" x14ac:dyDescent="0.3">
      <c r="A366">
        <v>1365</v>
      </c>
      <c r="B366" s="4">
        <v>46174</v>
      </c>
      <c r="C366" t="s">
        <v>27</v>
      </c>
      <c r="D366" t="s">
        <v>46</v>
      </c>
      <c r="E366">
        <v>3</v>
      </c>
      <c r="F366">
        <v>55000</v>
      </c>
      <c r="G366" t="s">
        <v>86</v>
      </c>
      <c r="H366" t="s">
        <v>88</v>
      </c>
      <c r="I366" t="s">
        <v>81</v>
      </c>
      <c r="J366">
        <v>165000</v>
      </c>
      <c r="K366" t="str">
        <f>_xlfn.XLOOKUP(Sales_Data[[#This Row],[Product_ID]],products!A:A,products!B:B,"Not Found")</f>
        <v>Laptop</v>
      </c>
      <c r="L366" t="str">
        <f>_xlfn.XLOOKUP(Sales_Data[[#This Row],[Product_ID]],products!A:A,products!C:C,"Not Found")</f>
        <v>Electronics</v>
      </c>
      <c r="M366" t="str">
        <f>_xlfn.XLOOKUP(C366,customers!A:A,customers!B:B,"Not Found")</f>
        <v>Vikas Yadav</v>
      </c>
      <c r="N366" t="str">
        <f>_xlfn.XLOOKUP(C365,customers!A:A,customers!C:C,"Not Found")</f>
        <v>Delhi</v>
      </c>
      <c r="O366" t="str">
        <f>IF(Sales_Data[[#This Row],[Total_Sales]]&gt;=50000,"High","Low")</f>
        <v>High</v>
      </c>
    </row>
    <row r="367" spans="1:15" x14ac:dyDescent="0.3">
      <c r="A367">
        <v>1366</v>
      </c>
      <c r="B367" s="4">
        <v>46187</v>
      </c>
      <c r="C367" t="s">
        <v>18</v>
      </c>
      <c r="D367" t="s">
        <v>46</v>
      </c>
      <c r="E367">
        <v>7</v>
      </c>
      <c r="F367">
        <v>55000</v>
      </c>
      <c r="G367" t="s">
        <v>80</v>
      </c>
      <c r="H367" t="s">
        <v>83</v>
      </c>
      <c r="I367" t="s">
        <v>81</v>
      </c>
      <c r="J367">
        <v>385000</v>
      </c>
      <c r="K367" t="str">
        <f>_xlfn.XLOOKUP(Sales_Data[[#This Row],[Product_ID]],products!A:A,products!B:B,"Not Found")</f>
        <v>Laptop</v>
      </c>
      <c r="L367" t="str">
        <f>_xlfn.XLOOKUP(Sales_Data[[#This Row],[Product_ID]],products!A:A,products!C:C,"Not Found")</f>
        <v>Electronics</v>
      </c>
      <c r="M367" t="str">
        <f>_xlfn.XLOOKUP(C367,customers!A:A,customers!B:B,"Not Found")</f>
        <v>Neha Gupta</v>
      </c>
      <c r="N367" t="str">
        <f>_xlfn.XLOOKUP(C366,customers!A:A,customers!C:C,"Not Found")</f>
        <v>Thane</v>
      </c>
      <c r="O367" t="str">
        <f>IF(Sales_Data[[#This Row],[Total_Sales]]&gt;=50000,"High","Low")</f>
        <v>High</v>
      </c>
    </row>
    <row r="368" spans="1:15" x14ac:dyDescent="0.3">
      <c r="A368">
        <v>1367</v>
      </c>
      <c r="B368" s="4">
        <v>46099</v>
      </c>
      <c r="C368" t="s">
        <v>9</v>
      </c>
      <c r="D368" t="s">
        <v>60</v>
      </c>
      <c r="E368">
        <v>7</v>
      </c>
      <c r="F368">
        <v>22000</v>
      </c>
      <c r="G368" t="s">
        <v>75</v>
      </c>
      <c r="H368" t="s">
        <v>84</v>
      </c>
      <c r="I368" t="s">
        <v>81</v>
      </c>
      <c r="J368">
        <v>154000</v>
      </c>
      <c r="K368" t="str">
        <f>_xlfn.XLOOKUP(Sales_Data[[#This Row],[Product_ID]],products!A:A,products!B:B,"Not Found")</f>
        <v>Tablet</v>
      </c>
      <c r="L368" t="str">
        <f>_xlfn.XLOOKUP(Sales_Data[[#This Row],[Product_ID]],products!A:A,products!C:C,"Not Found")</f>
        <v>Electronics</v>
      </c>
      <c r="M368" t="str">
        <f>_xlfn.XLOOKUP(C368,customers!A:A,customers!B:B,"Not Found")</f>
        <v>Amit Verma</v>
      </c>
      <c r="N368" t="str">
        <f>_xlfn.XLOOKUP(C367,customers!A:A,customers!C:C,"Not Found")</f>
        <v>Indore</v>
      </c>
      <c r="O368" t="str">
        <f>IF(Sales_Data[[#This Row],[Total_Sales]]&gt;=50000,"High","Low")</f>
        <v>High</v>
      </c>
    </row>
    <row r="369" spans="1:15" x14ac:dyDescent="0.3">
      <c r="A369">
        <v>1368</v>
      </c>
      <c r="B369" s="4">
        <v>46080</v>
      </c>
      <c r="C369" t="s">
        <v>38</v>
      </c>
      <c r="D369" t="s">
        <v>54</v>
      </c>
      <c r="E369">
        <v>5</v>
      </c>
      <c r="F369">
        <v>15000</v>
      </c>
      <c r="G369" t="s">
        <v>86</v>
      </c>
      <c r="H369" t="s">
        <v>76</v>
      </c>
      <c r="I369" t="s">
        <v>81</v>
      </c>
      <c r="J369">
        <v>75000</v>
      </c>
      <c r="K369" t="str">
        <f>_xlfn.XLOOKUP(Sales_Data[[#This Row],[Product_ID]],products!A:A,products!B:B,"Not Found")</f>
        <v>Monitor</v>
      </c>
      <c r="L369" t="str">
        <f>_xlfn.XLOOKUP(Sales_Data[[#This Row],[Product_ID]],products!A:A,products!C:C,"Not Found")</f>
        <v>Electronics</v>
      </c>
      <c r="M369" t="str">
        <f>_xlfn.XLOOKUP(C369,customers!A:A,customers!B:B,"Not Found")</f>
        <v>Komal Pawar</v>
      </c>
      <c r="N369" t="str">
        <f>_xlfn.XLOOKUP(C368,customers!A:A,customers!C:C,"Not Found")</f>
        <v>Mumbai</v>
      </c>
      <c r="O369" t="str">
        <f>IF(Sales_Data[[#This Row],[Total_Sales]]&gt;=50000,"High","Low")</f>
        <v>High</v>
      </c>
    </row>
    <row r="370" spans="1:15" x14ac:dyDescent="0.3">
      <c r="A370">
        <v>1369</v>
      </c>
      <c r="B370" s="4">
        <v>46128</v>
      </c>
      <c r="C370" t="s">
        <v>27</v>
      </c>
      <c r="D370" t="s">
        <v>46</v>
      </c>
      <c r="E370">
        <v>7</v>
      </c>
      <c r="F370">
        <v>55000</v>
      </c>
      <c r="G370" t="s">
        <v>80</v>
      </c>
      <c r="H370" t="s">
        <v>84</v>
      </c>
      <c r="I370" t="s">
        <v>87</v>
      </c>
      <c r="J370">
        <v>385000</v>
      </c>
      <c r="K370" t="str">
        <f>_xlfn.XLOOKUP(Sales_Data[[#This Row],[Product_ID]],products!A:A,products!B:B,"Not Found")</f>
        <v>Laptop</v>
      </c>
      <c r="L370" t="str">
        <f>_xlfn.XLOOKUP(Sales_Data[[#This Row],[Product_ID]],products!A:A,products!C:C,"Not Found")</f>
        <v>Electronics</v>
      </c>
      <c r="M370" t="str">
        <f>_xlfn.XLOOKUP(C370,customers!A:A,customers!B:B,"Not Found")</f>
        <v>Vikas Yadav</v>
      </c>
      <c r="N370" t="str">
        <f>_xlfn.XLOOKUP(C369,customers!A:A,customers!C:C,"Not Found")</f>
        <v>Indore</v>
      </c>
      <c r="O370" t="str">
        <f>IF(Sales_Data[[#This Row],[Total_Sales]]&gt;=50000,"High","Low")</f>
        <v>High</v>
      </c>
    </row>
    <row r="371" spans="1:15" x14ac:dyDescent="0.3">
      <c r="A371">
        <v>1370</v>
      </c>
      <c r="B371" s="4">
        <v>46088</v>
      </c>
      <c r="C371" t="s">
        <v>12</v>
      </c>
      <c r="D371" t="s">
        <v>60</v>
      </c>
      <c r="E371">
        <v>4</v>
      </c>
      <c r="F371">
        <v>22000</v>
      </c>
      <c r="G371" t="s">
        <v>82</v>
      </c>
      <c r="H371" t="s">
        <v>79</v>
      </c>
      <c r="I371" t="s">
        <v>81</v>
      </c>
      <c r="J371">
        <v>88000</v>
      </c>
      <c r="K371" t="str">
        <f>_xlfn.XLOOKUP(Sales_Data[[#This Row],[Product_ID]],products!A:A,products!B:B,"Not Found")</f>
        <v>Tablet</v>
      </c>
      <c r="L371" t="str">
        <f>_xlfn.XLOOKUP(Sales_Data[[#This Row],[Product_ID]],products!A:A,products!C:C,"Not Found")</f>
        <v>Electronics</v>
      </c>
      <c r="M371" t="str">
        <f>_xlfn.XLOOKUP(C371,customers!A:A,customers!B:B,"Not Found")</f>
        <v>Sneha Joshi</v>
      </c>
      <c r="N371" t="str">
        <f>_xlfn.XLOOKUP(C370,customers!A:A,customers!C:C,"Not Found")</f>
        <v>Thane</v>
      </c>
      <c r="O371" t="str">
        <f>IF(Sales_Data[[#This Row],[Total_Sales]]&gt;=50000,"High","Low")</f>
        <v>High</v>
      </c>
    </row>
    <row r="372" spans="1:15" x14ac:dyDescent="0.3">
      <c r="A372">
        <v>1371</v>
      </c>
      <c r="B372" s="4">
        <v>46160</v>
      </c>
      <c r="C372" t="s">
        <v>6</v>
      </c>
      <c r="D372" t="s">
        <v>58</v>
      </c>
      <c r="E372">
        <v>4</v>
      </c>
      <c r="F372">
        <v>12000</v>
      </c>
      <c r="G372" t="s">
        <v>78</v>
      </c>
      <c r="H372" t="s">
        <v>83</v>
      </c>
      <c r="I372" t="s">
        <v>81</v>
      </c>
      <c r="J372">
        <v>48000</v>
      </c>
      <c r="K372" t="str">
        <f>_xlfn.XLOOKUP(Sales_Data[[#This Row],[Product_ID]],products!A:A,products!B:B,"Not Found")</f>
        <v>Printer</v>
      </c>
      <c r="L372" t="str">
        <f>_xlfn.XLOOKUP(Sales_Data[[#This Row],[Product_ID]],products!A:A,products!C:C,"Not Found")</f>
        <v>Electronics</v>
      </c>
      <c r="M372" t="str">
        <f>_xlfn.XLOOKUP(C372,customers!A:A,customers!B:B,"Not Found")</f>
        <v>Priya Patil</v>
      </c>
      <c r="N372" t="str">
        <f>_xlfn.XLOOKUP(C371,customers!A:A,customers!C:C,"Not Found")</f>
        <v>Nashik</v>
      </c>
      <c r="O372" t="str">
        <f>IF(Sales_Data[[#This Row],[Total_Sales]]&gt;=50000,"High","Low")</f>
        <v>Low</v>
      </c>
    </row>
    <row r="373" spans="1:15" x14ac:dyDescent="0.3">
      <c r="A373">
        <v>1372</v>
      </c>
      <c r="B373" s="4">
        <v>46033</v>
      </c>
      <c r="C373" t="s">
        <v>30</v>
      </c>
      <c r="D373" t="s">
        <v>66</v>
      </c>
      <c r="E373">
        <v>2</v>
      </c>
      <c r="F373">
        <v>30000</v>
      </c>
      <c r="G373" t="s">
        <v>75</v>
      </c>
      <c r="H373" t="s">
        <v>84</v>
      </c>
      <c r="I373" t="s">
        <v>87</v>
      </c>
      <c r="J373">
        <v>60000</v>
      </c>
      <c r="K373" t="str">
        <f>_xlfn.XLOOKUP(Sales_Data[[#This Row],[Product_ID]],products!A:A,products!B:B,"Not Found")</f>
        <v>Smartphone</v>
      </c>
      <c r="L373" t="str">
        <f>_xlfn.XLOOKUP(Sales_Data[[#This Row],[Product_ID]],products!A:A,products!C:C,"Not Found")</f>
        <v>Electronics</v>
      </c>
      <c r="M373" t="str">
        <f>_xlfn.XLOOKUP(C373,customers!A:A,customers!B:B,"Not Found")</f>
        <v>Anjali Kulkarni</v>
      </c>
      <c r="N373" t="str">
        <f>_xlfn.XLOOKUP(C372,customers!A:A,customers!C:C,"Not Found")</f>
        <v>Pune</v>
      </c>
      <c r="O373" t="str">
        <f>IF(Sales_Data[[#This Row],[Total_Sales]]&gt;=50000,"High","Low")</f>
        <v>High</v>
      </c>
    </row>
    <row r="374" spans="1:15" x14ac:dyDescent="0.3">
      <c r="A374">
        <v>1373</v>
      </c>
      <c r="B374" s="4">
        <v>46108</v>
      </c>
      <c r="C374" t="s">
        <v>12</v>
      </c>
      <c r="D374" t="s">
        <v>62</v>
      </c>
      <c r="E374">
        <v>5</v>
      </c>
      <c r="F374">
        <v>3000</v>
      </c>
      <c r="G374" t="s">
        <v>78</v>
      </c>
      <c r="H374" t="s">
        <v>76</v>
      </c>
      <c r="I374" t="s">
        <v>87</v>
      </c>
      <c r="J374">
        <v>15000</v>
      </c>
      <c r="K374" t="str">
        <f>_xlfn.XLOOKUP(Sales_Data[[#This Row],[Product_ID]],products!A:A,products!B:B,"Not Found")</f>
        <v>Webcam</v>
      </c>
      <c r="L374" t="str">
        <f>_xlfn.XLOOKUP(Sales_Data[[#This Row],[Product_ID]],products!A:A,products!C:C,"Not Found")</f>
        <v>Accessories</v>
      </c>
      <c r="M374" t="str">
        <f>_xlfn.XLOOKUP(C374,customers!A:A,customers!B:B,"Not Found")</f>
        <v>Sneha Joshi</v>
      </c>
      <c r="N374" t="str">
        <f>_xlfn.XLOOKUP(C373,customers!A:A,customers!C:C,"Not Found")</f>
        <v>Nagpur</v>
      </c>
      <c r="O374" t="str">
        <f>IF(Sales_Data[[#This Row],[Total_Sales]]&gt;=50000,"High","Low")</f>
        <v>Low</v>
      </c>
    </row>
    <row r="375" spans="1:15" x14ac:dyDescent="0.3">
      <c r="A375">
        <v>1374</v>
      </c>
      <c r="B375" s="4">
        <v>46145</v>
      </c>
      <c r="C375" t="s">
        <v>34</v>
      </c>
      <c r="D375" t="s">
        <v>49</v>
      </c>
      <c r="E375">
        <v>4</v>
      </c>
      <c r="F375">
        <v>2500</v>
      </c>
      <c r="G375" t="s">
        <v>86</v>
      </c>
      <c r="H375" t="s">
        <v>84</v>
      </c>
      <c r="I375" t="s">
        <v>87</v>
      </c>
      <c r="J375">
        <v>10000</v>
      </c>
      <c r="K375" t="str">
        <f>_xlfn.XLOOKUP(Sales_Data[[#This Row],[Product_ID]],products!A:A,products!B:B,"Not Found")</f>
        <v>Keyboard</v>
      </c>
      <c r="L375" t="str">
        <f>_xlfn.XLOOKUP(Sales_Data[[#This Row],[Product_ID]],products!A:A,products!C:C,"Not Found")</f>
        <v>Accessories</v>
      </c>
      <c r="M375" t="str">
        <f>_xlfn.XLOOKUP(C375,customers!A:A,customers!B:B,"Not Found")</f>
        <v>Riya Shah</v>
      </c>
      <c r="N375" t="str">
        <f>_xlfn.XLOOKUP(C374,customers!A:A,customers!C:C,"Not Found")</f>
        <v>Nashik</v>
      </c>
      <c r="O375" t="str">
        <f>IF(Sales_Data[[#This Row],[Total_Sales]]&gt;=50000,"High","Low")</f>
        <v>Low</v>
      </c>
    </row>
    <row r="376" spans="1:15" x14ac:dyDescent="0.3">
      <c r="A376">
        <v>1375</v>
      </c>
      <c r="B376" s="4">
        <v>46084</v>
      </c>
      <c r="C376" t="s">
        <v>40</v>
      </c>
      <c r="D376" t="s">
        <v>60</v>
      </c>
      <c r="E376">
        <v>6</v>
      </c>
      <c r="F376">
        <v>22000</v>
      </c>
      <c r="G376" t="s">
        <v>82</v>
      </c>
      <c r="H376" t="s">
        <v>88</v>
      </c>
      <c r="I376" t="s">
        <v>81</v>
      </c>
      <c r="J376">
        <v>132000</v>
      </c>
      <c r="K376" t="str">
        <f>_xlfn.XLOOKUP(Sales_Data[[#This Row],[Product_ID]],products!A:A,products!B:B,"Not Found")</f>
        <v>Tablet</v>
      </c>
      <c r="L376" t="str">
        <f>_xlfn.XLOOKUP(Sales_Data[[#This Row],[Product_ID]],products!A:A,products!C:C,"Not Found")</f>
        <v>Electronics</v>
      </c>
      <c r="M376" t="str">
        <f>_xlfn.XLOOKUP(C376,customers!A:A,customers!B:B,"Not Found")</f>
        <v>Nitin More</v>
      </c>
      <c r="N376" t="str">
        <f>_xlfn.XLOOKUP(C375,customers!A:A,customers!C:C,"Not Found")</f>
        <v>Mumbai</v>
      </c>
      <c r="O376" t="str">
        <f>IF(Sales_Data[[#This Row],[Total_Sales]]&gt;=50000,"High","Low")</f>
        <v>High</v>
      </c>
    </row>
    <row r="377" spans="1:15" x14ac:dyDescent="0.3">
      <c r="A377">
        <v>1376</v>
      </c>
      <c r="B377" s="4">
        <v>46114</v>
      </c>
      <c r="C377" t="s">
        <v>32</v>
      </c>
      <c r="D377" t="s">
        <v>64</v>
      </c>
      <c r="E377">
        <v>5</v>
      </c>
      <c r="F377">
        <v>900</v>
      </c>
      <c r="G377" t="s">
        <v>82</v>
      </c>
      <c r="H377" t="s">
        <v>83</v>
      </c>
      <c r="I377" t="s">
        <v>81</v>
      </c>
      <c r="J377">
        <v>4500</v>
      </c>
      <c r="K377" t="str">
        <f>_xlfn.XLOOKUP(Sales_Data[[#This Row],[Product_ID]],products!A:A,products!B:B,"Not Found")</f>
        <v>USB Drive</v>
      </c>
      <c r="L377" t="str">
        <f>_xlfn.XLOOKUP(Sales_Data[[#This Row],[Product_ID]],products!A:A,products!C:C,"Not Found")</f>
        <v>Accessories</v>
      </c>
      <c r="M377" t="str">
        <f>_xlfn.XLOOKUP(C377,customers!A:A,customers!B:B,"Not Found")</f>
        <v>Sahil Khan</v>
      </c>
      <c r="N377" t="str">
        <f>_xlfn.XLOOKUP(C376,customers!A:A,customers!C:C,"Not Found")</f>
        <v>Nagpur</v>
      </c>
      <c r="O377" t="str">
        <f>IF(Sales_Data[[#This Row],[Total_Sales]]&gt;=50000,"High","Low")</f>
        <v>Low</v>
      </c>
    </row>
    <row r="378" spans="1:15" x14ac:dyDescent="0.3">
      <c r="A378">
        <v>1377</v>
      </c>
      <c r="B378" s="4">
        <v>46143</v>
      </c>
      <c r="C378" t="s">
        <v>6</v>
      </c>
      <c r="D378" t="s">
        <v>62</v>
      </c>
      <c r="E378">
        <v>6</v>
      </c>
      <c r="F378">
        <v>3000</v>
      </c>
      <c r="G378" t="s">
        <v>75</v>
      </c>
      <c r="H378" t="s">
        <v>83</v>
      </c>
      <c r="I378" t="s">
        <v>85</v>
      </c>
      <c r="J378">
        <v>18000</v>
      </c>
      <c r="K378" t="str">
        <f>_xlfn.XLOOKUP(Sales_Data[[#This Row],[Product_ID]],products!A:A,products!B:B,"Not Found")</f>
        <v>Webcam</v>
      </c>
      <c r="L378" t="str">
        <f>_xlfn.XLOOKUP(Sales_Data[[#This Row],[Product_ID]],products!A:A,products!C:C,"Not Found")</f>
        <v>Accessories</v>
      </c>
      <c r="M378" t="str">
        <f>_xlfn.XLOOKUP(C378,customers!A:A,customers!B:B,"Not Found")</f>
        <v>Priya Patil</v>
      </c>
      <c r="N378" t="str">
        <f>_xlfn.XLOOKUP(C377,customers!A:A,customers!C:C,"Not Found")</f>
        <v>Pune</v>
      </c>
      <c r="O378" t="str">
        <f>IF(Sales_Data[[#This Row],[Total_Sales]]&gt;=50000,"High","Low")</f>
        <v>Low</v>
      </c>
    </row>
    <row r="379" spans="1:15" x14ac:dyDescent="0.3">
      <c r="A379">
        <v>1378</v>
      </c>
      <c r="B379" s="4">
        <v>46167</v>
      </c>
      <c r="C379" t="s">
        <v>3</v>
      </c>
      <c r="D379" t="s">
        <v>60</v>
      </c>
      <c r="E379">
        <v>4</v>
      </c>
      <c r="F379">
        <v>22000</v>
      </c>
      <c r="G379" t="s">
        <v>86</v>
      </c>
      <c r="H379" t="s">
        <v>76</v>
      </c>
      <c r="I379" t="s">
        <v>77</v>
      </c>
      <c r="J379">
        <v>88000</v>
      </c>
      <c r="K379" t="str">
        <f>_xlfn.XLOOKUP(Sales_Data[[#This Row],[Product_ID]],products!A:A,products!B:B,"Not Found")</f>
        <v>Tablet</v>
      </c>
      <c r="L379" t="str">
        <f>_xlfn.XLOOKUP(Sales_Data[[#This Row],[Product_ID]],products!A:A,products!C:C,"Not Found")</f>
        <v>Electronics</v>
      </c>
      <c r="M379" t="str">
        <f>_xlfn.XLOOKUP(C379,customers!A:A,customers!B:B,"Not Found")</f>
        <v>Rahul Sharma</v>
      </c>
      <c r="N379" t="str">
        <f>_xlfn.XLOOKUP(C378,customers!A:A,customers!C:C,"Not Found")</f>
        <v>Pune</v>
      </c>
      <c r="O379" t="str">
        <f>IF(Sales_Data[[#This Row],[Total_Sales]]&gt;=50000,"High","Low")</f>
        <v>High</v>
      </c>
    </row>
    <row r="380" spans="1:15" x14ac:dyDescent="0.3">
      <c r="A380">
        <v>1379</v>
      </c>
      <c r="B380" s="4">
        <v>46172</v>
      </c>
      <c r="C380" t="s">
        <v>27</v>
      </c>
      <c r="D380" t="s">
        <v>56</v>
      </c>
      <c r="E380">
        <v>7</v>
      </c>
      <c r="F380">
        <v>3500</v>
      </c>
      <c r="G380" t="s">
        <v>82</v>
      </c>
      <c r="H380" t="s">
        <v>76</v>
      </c>
      <c r="I380" t="s">
        <v>87</v>
      </c>
      <c r="J380">
        <v>24500</v>
      </c>
      <c r="K380" t="str">
        <f>_xlfn.XLOOKUP(Sales_Data[[#This Row],[Product_ID]],products!A:A,products!B:B,"Not Found")</f>
        <v>Headphones</v>
      </c>
      <c r="L380" t="str">
        <f>_xlfn.XLOOKUP(Sales_Data[[#This Row],[Product_ID]],products!A:A,products!C:C,"Not Found")</f>
        <v>Accessories</v>
      </c>
      <c r="M380" t="str">
        <f>_xlfn.XLOOKUP(C380,customers!A:A,customers!B:B,"Not Found")</f>
        <v>Vikas Yadav</v>
      </c>
      <c r="N380" t="str">
        <f>_xlfn.XLOOKUP(C379,customers!A:A,customers!C:C,"Not Found")</f>
        <v>Nagpur</v>
      </c>
      <c r="O380" t="str">
        <f>IF(Sales_Data[[#This Row],[Total_Sales]]&gt;=50000,"High","Low")</f>
        <v>Low</v>
      </c>
    </row>
    <row r="381" spans="1:15" x14ac:dyDescent="0.3">
      <c r="A381">
        <v>1380</v>
      </c>
      <c r="B381" s="4">
        <v>46120</v>
      </c>
      <c r="C381" t="s">
        <v>12</v>
      </c>
      <c r="D381" t="s">
        <v>58</v>
      </c>
      <c r="E381">
        <v>4</v>
      </c>
      <c r="F381">
        <v>12000</v>
      </c>
      <c r="G381" t="s">
        <v>89</v>
      </c>
      <c r="H381" t="s">
        <v>84</v>
      </c>
      <c r="I381" t="s">
        <v>85</v>
      </c>
      <c r="J381">
        <v>48000</v>
      </c>
      <c r="K381" t="str">
        <f>_xlfn.XLOOKUP(Sales_Data[[#This Row],[Product_ID]],products!A:A,products!B:B,"Not Found")</f>
        <v>Printer</v>
      </c>
      <c r="L381" t="str">
        <f>_xlfn.XLOOKUP(Sales_Data[[#This Row],[Product_ID]],products!A:A,products!C:C,"Not Found")</f>
        <v>Electronics</v>
      </c>
      <c r="M381" t="str">
        <f>_xlfn.XLOOKUP(C381,customers!A:A,customers!B:B,"Not Found")</f>
        <v>Sneha Joshi</v>
      </c>
      <c r="N381" t="str">
        <f>_xlfn.XLOOKUP(C380,customers!A:A,customers!C:C,"Not Found")</f>
        <v>Thane</v>
      </c>
      <c r="O381" t="str">
        <f>IF(Sales_Data[[#This Row],[Total_Sales]]&gt;=50000,"High","Low")</f>
        <v>Low</v>
      </c>
    </row>
    <row r="382" spans="1:15" x14ac:dyDescent="0.3">
      <c r="A382">
        <v>1381</v>
      </c>
      <c r="B382" s="4">
        <v>46148</v>
      </c>
      <c r="C382" t="s">
        <v>36</v>
      </c>
      <c r="D382" t="s">
        <v>56</v>
      </c>
      <c r="E382">
        <v>8</v>
      </c>
      <c r="F382">
        <v>3500</v>
      </c>
      <c r="G382" t="s">
        <v>89</v>
      </c>
      <c r="H382" t="s">
        <v>76</v>
      </c>
      <c r="I382" t="s">
        <v>85</v>
      </c>
      <c r="J382">
        <v>28000</v>
      </c>
      <c r="K382" t="str">
        <f>_xlfn.XLOOKUP(Sales_Data[[#This Row],[Product_ID]],products!A:A,products!B:B,"Not Found")</f>
        <v>Headphones</v>
      </c>
      <c r="L382" t="str">
        <f>_xlfn.XLOOKUP(Sales_Data[[#This Row],[Product_ID]],products!A:A,products!C:C,"Not Found")</f>
        <v>Accessories</v>
      </c>
      <c r="M382" t="str">
        <f>_xlfn.XLOOKUP(C382,customers!A:A,customers!B:B,"Not Found")</f>
        <v>Akash Jain</v>
      </c>
      <c r="N382" t="str">
        <f>_xlfn.XLOOKUP(C381,customers!A:A,customers!C:C,"Not Found")</f>
        <v>Nashik</v>
      </c>
      <c r="O382" t="str">
        <f>IF(Sales_Data[[#This Row],[Total_Sales]]&gt;=50000,"High","Low")</f>
        <v>Low</v>
      </c>
    </row>
    <row r="383" spans="1:15" x14ac:dyDescent="0.3">
      <c r="A383">
        <v>1382</v>
      </c>
      <c r="B383" s="4">
        <v>46162</v>
      </c>
      <c r="C383" t="s">
        <v>9</v>
      </c>
      <c r="D383" t="s">
        <v>52</v>
      </c>
      <c r="E383">
        <v>8</v>
      </c>
      <c r="F383">
        <v>800</v>
      </c>
      <c r="G383" t="s">
        <v>75</v>
      </c>
      <c r="H383" t="s">
        <v>84</v>
      </c>
      <c r="I383" t="s">
        <v>77</v>
      </c>
      <c r="J383">
        <v>6400</v>
      </c>
      <c r="K383" t="str">
        <f>_xlfn.XLOOKUP(Sales_Data[[#This Row],[Product_ID]],products!A:A,products!B:B,"Not Found")</f>
        <v>Mouse</v>
      </c>
      <c r="L383" t="str">
        <f>_xlfn.XLOOKUP(Sales_Data[[#This Row],[Product_ID]],products!A:A,products!C:C,"Not Found")</f>
        <v>Accessories</v>
      </c>
      <c r="M383" t="str">
        <f>_xlfn.XLOOKUP(C383,customers!A:A,customers!B:B,"Not Found")</f>
        <v>Amit Verma</v>
      </c>
      <c r="N383" t="str">
        <f>_xlfn.XLOOKUP(C382,customers!A:A,customers!C:C,"Not Found")</f>
        <v>Nashik</v>
      </c>
      <c r="O383" t="str">
        <f>IF(Sales_Data[[#This Row],[Total_Sales]]&gt;=50000,"High","Low")</f>
        <v>Low</v>
      </c>
    </row>
    <row r="384" spans="1:15" x14ac:dyDescent="0.3">
      <c r="A384">
        <v>1383</v>
      </c>
      <c r="B384" s="4">
        <v>46042</v>
      </c>
      <c r="C384" t="s">
        <v>3</v>
      </c>
      <c r="D384" t="s">
        <v>64</v>
      </c>
      <c r="E384">
        <v>1</v>
      </c>
      <c r="F384">
        <v>900</v>
      </c>
      <c r="G384" t="s">
        <v>78</v>
      </c>
      <c r="H384" t="s">
        <v>88</v>
      </c>
      <c r="I384" t="s">
        <v>87</v>
      </c>
      <c r="J384">
        <v>900</v>
      </c>
      <c r="K384" t="str">
        <f>_xlfn.XLOOKUP(Sales_Data[[#This Row],[Product_ID]],products!A:A,products!B:B,"Not Found")</f>
        <v>USB Drive</v>
      </c>
      <c r="L384" t="str">
        <f>_xlfn.XLOOKUP(Sales_Data[[#This Row],[Product_ID]],products!A:A,products!C:C,"Not Found")</f>
        <v>Accessories</v>
      </c>
      <c r="M384" t="str">
        <f>_xlfn.XLOOKUP(C384,customers!A:A,customers!B:B,"Not Found")</f>
        <v>Rahul Sharma</v>
      </c>
      <c r="N384" t="str">
        <f>_xlfn.XLOOKUP(C383,customers!A:A,customers!C:C,"Not Found")</f>
        <v>Mumbai</v>
      </c>
      <c r="O384" t="str">
        <f>IF(Sales_Data[[#This Row],[Total_Sales]]&gt;=50000,"High","Low")</f>
        <v>Low</v>
      </c>
    </row>
    <row r="385" spans="1:15" x14ac:dyDescent="0.3">
      <c r="A385">
        <v>1384</v>
      </c>
      <c r="B385" s="4">
        <v>46061</v>
      </c>
      <c r="C385" t="s">
        <v>6</v>
      </c>
      <c r="D385" t="s">
        <v>54</v>
      </c>
      <c r="E385">
        <v>1</v>
      </c>
      <c r="F385">
        <v>15000</v>
      </c>
      <c r="G385" t="s">
        <v>75</v>
      </c>
      <c r="H385" t="s">
        <v>84</v>
      </c>
      <c r="I385" t="s">
        <v>81</v>
      </c>
      <c r="J385">
        <v>15000</v>
      </c>
      <c r="K385" t="str">
        <f>_xlfn.XLOOKUP(Sales_Data[[#This Row],[Product_ID]],products!A:A,products!B:B,"Not Found")</f>
        <v>Monitor</v>
      </c>
      <c r="L385" t="str">
        <f>_xlfn.XLOOKUP(Sales_Data[[#This Row],[Product_ID]],products!A:A,products!C:C,"Not Found")</f>
        <v>Electronics</v>
      </c>
      <c r="M385" t="str">
        <f>_xlfn.XLOOKUP(C385,customers!A:A,customers!B:B,"Not Found")</f>
        <v>Priya Patil</v>
      </c>
      <c r="N385" t="str">
        <f>_xlfn.XLOOKUP(C384,customers!A:A,customers!C:C,"Not Found")</f>
        <v>Nagpur</v>
      </c>
      <c r="O385" t="str">
        <f>IF(Sales_Data[[#This Row],[Total_Sales]]&gt;=50000,"High","Low")</f>
        <v>Low</v>
      </c>
    </row>
    <row r="386" spans="1:15" x14ac:dyDescent="0.3">
      <c r="A386">
        <v>1385</v>
      </c>
      <c r="B386" s="4">
        <v>46181</v>
      </c>
      <c r="C386" t="s">
        <v>3</v>
      </c>
      <c r="D386" t="s">
        <v>58</v>
      </c>
      <c r="E386">
        <v>8</v>
      </c>
      <c r="F386">
        <v>12000</v>
      </c>
      <c r="G386" t="s">
        <v>86</v>
      </c>
      <c r="H386" t="s">
        <v>88</v>
      </c>
      <c r="I386" t="s">
        <v>77</v>
      </c>
      <c r="J386">
        <v>96000</v>
      </c>
      <c r="K386" t="str">
        <f>_xlfn.XLOOKUP(Sales_Data[[#This Row],[Product_ID]],products!A:A,products!B:B,"Not Found")</f>
        <v>Printer</v>
      </c>
      <c r="L386" t="str">
        <f>_xlfn.XLOOKUP(Sales_Data[[#This Row],[Product_ID]],products!A:A,products!C:C,"Not Found")</f>
        <v>Electronics</v>
      </c>
      <c r="M386" t="str">
        <f>_xlfn.XLOOKUP(C386,customers!A:A,customers!B:B,"Not Found")</f>
        <v>Rahul Sharma</v>
      </c>
      <c r="N386" t="str">
        <f>_xlfn.XLOOKUP(C385,customers!A:A,customers!C:C,"Not Found")</f>
        <v>Pune</v>
      </c>
      <c r="O386" t="str">
        <f>IF(Sales_Data[[#This Row],[Total_Sales]]&gt;=50000,"High","Low")</f>
        <v>High</v>
      </c>
    </row>
    <row r="387" spans="1:15" x14ac:dyDescent="0.3">
      <c r="A387">
        <v>1386</v>
      </c>
      <c r="B387" s="4">
        <v>46164</v>
      </c>
      <c r="C387" t="s">
        <v>27</v>
      </c>
      <c r="D387" t="s">
        <v>46</v>
      </c>
      <c r="E387">
        <v>7</v>
      </c>
      <c r="F387">
        <v>55000</v>
      </c>
      <c r="G387" t="s">
        <v>78</v>
      </c>
      <c r="H387" t="s">
        <v>79</v>
      </c>
      <c r="I387" t="s">
        <v>85</v>
      </c>
      <c r="J387">
        <v>385000</v>
      </c>
      <c r="K387" t="str">
        <f>_xlfn.XLOOKUP(Sales_Data[[#This Row],[Product_ID]],products!A:A,products!B:B,"Not Found")</f>
        <v>Laptop</v>
      </c>
      <c r="L387" t="str">
        <f>_xlfn.XLOOKUP(Sales_Data[[#This Row],[Product_ID]],products!A:A,products!C:C,"Not Found")</f>
        <v>Electronics</v>
      </c>
      <c r="M387" t="str">
        <f>_xlfn.XLOOKUP(C387,customers!A:A,customers!B:B,"Not Found")</f>
        <v>Vikas Yadav</v>
      </c>
      <c r="N387" t="str">
        <f>_xlfn.XLOOKUP(C386,customers!A:A,customers!C:C,"Not Found")</f>
        <v>Nagpur</v>
      </c>
      <c r="O387" t="str">
        <f>IF(Sales_Data[[#This Row],[Total_Sales]]&gt;=50000,"High","Low")</f>
        <v>High</v>
      </c>
    </row>
    <row r="388" spans="1:15" x14ac:dyDescent="0.3">
      <c r="A388">
        <v>1387</v>
      </c>
      <c r="B388" s="4">
        <v>46027</v>
      </c>
      <c r="C388" t="s">
        <v>15</v>
      </c>
      <c r="D388" t="s">
        <v>64</v>
      </c>
      <c r="E388">
        <v>7</v>
      </c>
      <c r="F388">
        <v>900</v>
      </c>
      <c r="G388" t="s">
        <v>75</v>
      </c>
      <c r="H388" t="s">
        <v>79</v>
      </c>
      <c r="I388" t="s">
        <v>77</v>
      </c>
      <c r="J388">
        <v>6300</v>
      </c>
      <c r="K388" t="str">
        <f>_xlfn.XLOOKUP(Sales_Data[[#This Row],[Product_ID]],products!A:A,products!B:B,"Not Found")</f>
        <v>USB Drive</v>
      </c>
      <c r="L388" t="str">
        <f>_xlfn.XLOOKUP(Sales_Data[[#This Row],[Product_ID]],products!A:A,products!C:C,"Not Found")</f>
        <v>Accessories</v>
      </c>
      <c r="M388" t="str">
        <f>_xlfn.XLOOKUP(C388,customers!A:A,customers!B:B,"Not Found")</f>
        <v>Rohit Singh</v>
      </c>
      <c r="N388" t="str">
        <f>_xlfn.XLOOKUP(C387,customers!A:A,customers!C:C,"Not Found")</f>
        <v>Thane</v>
      </c>
      <c r="O388" t="str">
        <f>IF(Sales_Data[[#This Row],[Total_Sales]]&gt;=50000,"High","Low")</f>
        <v>Low</v>
      </c>
    </row>
    <row r="389" spans="1:15" x14ac:dyDescent="0.3">
      <c r="A389">
        <v>1388</v>
      </c>
      <c r="B389" s="4">
        <v>46084</v>
      </c>
      <c r="C389" t="s">
        <v>9</v>
      </c>
      <c r="D389" t="s">
        <v>64</v>
      </c>
      <c r="E389">
        <v>4</v>
      </c>
      <c r="F389">
        <v>900</v>
      </c>
      <c r="G389" t="s">
        <v>80</v>
      </c>
      <c r="H389" t="s">
        <v>84</v>
      </c>
      <c r="I389" t="s">
        <v>85</v>
      </c>
      <c r="J389">
        <v>3600</v>
      </c>
      <c r="K389" t="str">
        <f>_xlfn.XLOOKUP(Sales_Data[[#This Row],[Product_ID]],products!A:A,products!B:B,"Not Found")</f>
        <v>USB Drive</v>
      </c>
      <c r="L389" t="str">
        <f>_xlfn.XLOOKUP(Sales_Data[[#This Row],[Product_ID]],products!A:A,products!C:C,"Not Found")</f>
        <v>Accessories</v>
      </c>
      <c r="M389" t="str">
        <f>_xlfn.XLOOKUP(C389,customers!A:A,customers!B:B,"Not Found")</f>
        <v>Amit Verma</v>
      </c>
      <c r="N389" t="str">
        <f>_xlfn.XLOOKUP(C388,customers!A:A,customers!C:C,"Not Found")</f>
        <v>Delhi</v>
      </c>
      <c r="O389" t="str">
        <f>IF(Sales_Data[[#This Row],[Total_Sales]]&gt;=50000,"High","Low")</f>
        <v>Low</v>
      </c>
    </row>
    <row r="390" spans="1:15" x14ac:dyDescent="0.3">
      <c r="A390">
        <v>1389</v>
      </c>
      <c r="B390" s="4">
        <v>46124</v>
      </c>
      <c r="C390" t="s">
        <v>15</v>
      </c>
      <c r="D390" t="s">
        <v>58</v>
      </c>
      <c r="E390">
        <v>2</v>
      </c>
      <c r="F390">
        <v>12000</v>
      </c>
      <c r="G390" t="s">
        <v>82</v>
      </c>
      <c r="H390" t="s">
        <v>88</v>
      </c>
      <c r="I390" t="s">
        <v>81</v>
      </c>
      <c r="J390">
        <v>24000</v>
      </c>
      <c r="K390" t="str">
        <f>_xlfn.XLOOKUP(Sales_Data[[#This Row],[Product_ID]],products!A:A,products!B:B,"Not Found")</f>
        <v>Printer</v>
      </c>
      <c r="L390" t="str">
        <f>_xlfn.XLOOKUP(Sales_Data[[#This Row],[Product_ID]],products!A:A,products!C:C,"Not Found")</f>
        <v>Electronics</v>
      </c>
      <c r="M390" t="str">
        <f>_xlfn.XLOOKUP(C390,customers!A:A,customers!B:B,"Not Found")</f>
        <v>Rohit Singh</v>
      </c>
      <c r="N390" t="str">
        <f>_xlfn.XLOOKUP(C389,customers!A:A,customers!C:C,"Not Found")</f>
        <v>Mumbai</v>
      </c>
      <c r="O390" t="str">
        <f>IF(Sales_Data[[#This Row],[Total_Sales]]&gt;=50000,"High","Low")</f>
        <v>Low</v>
      </c>
    </row>
    <row r="391" spans="1:15" x14ac:dyDescent="0.3">
      <c r="A391">
        <v>1390</v>
      </c>
      <c r="B391" s="4">
        <v>46201</v>
      </c>
      <c r="C391" t="s">
        <v>12</v>
      </c>
      <c r="D391" t="s">
        <v>66</v>
      </c>
      <c r="E391">
        <v>4</v>
      </c>
      <c r="F391">
        <v>30000</v>
      </c>
      <c r="G391" t="s">
        <v>82</v>
      </c>
      <c r="H391" t="s">
        <v>79</v>
      </c>
      <c r="I391" t="s">
        <v>77</v>
      </c>
      <c r="J391">
        <v>120000</v>
      </c>
      <c r="K391" t="str">
        <f>_xlfn.XLOOKUP(Sales_Data[[#This Row],[Product_ID]],products!A:A,products!B:B,"Not Found")</f>
        <v>Smartphone</v>
      </c>
      <c r="L391" t="str">
        <f>_xlfn.XLOOKUP(Sales_Data[[#This Row],[Product_ID]],products!A:A,products!C:C,"Not Found")</f>
        <v>Electronics</v>
      </c>
      <c r="M391" t="str">
        <f>_xlfn.XLOOKUP(C391,customers!A:A,customers!B:B,"Not Found")</f>
        <v>Sneha Joshi</v>
      </c>
      <c r="N391" t="str">
        <f>_xlfn.XLOOKUP(C390,customers!A:A,customers!C:C,"Not Found")</f>
        <v>Delhi</v>
      </c>
      <c r="O391" t="str">
        <f>IF(Sales_Data[[#This Row],[Total_Sales]]&gt;=50000,"High","Low")</f>
        <v>High</v>
      </c>
    </row>
    <row r="392" spans="1:15" x14ac:dyDescent="0.3">
      <c r="A392">
        <v>1391</v>
      </c>
      <c r="B392" s="4">
        <v>46120</v>
      </c>
      <c r="C392" t="s">
        <v>21</v>
      </c>
      <c r="D392" t="s">
        <v>49</v>
      </c>
      <c r="E392">
        <v>7</v>
      </c>
      <c r="F392">
        <v>2500</v>
      </c>
      <c r="G392" t="s">
        <v>80</v>
      </c>
      <c r="H392" t="s">
        <v>88</v>
      </c>
      <c r="I392" t="s">
        <v>77</v>
      </c>
      <c r="J392">
        <v>17500</v>
      </c>
      <c r="K392" t="str">
        <f>_xlfn.XLOOKUP(Sales_Data[[#This Row],[Product_ID]],products!A:A,products!B:B,"Not Found")</f>
        <v>Keyboard</v>
      </c>
      <c r="L392" t="str">
        <f>_xlfn.XLOOKUP(Sales_Data[[#This Row],[Product_ID]],products!A:A,products!C:C,"Not Found")</f>
        <v>Accessories</v>
      </c>
      <c r="M392" t="str">
        <f>_xlfn.XLOOKUP(C392,customers!A:A,customers!B:B,"Not Found")</f>
        <v>Karan Mehta</v>
      </c>
      <c r="N392" t="str">
        <f>_xlfn.XLOOKUP(C391,customers!A:A,customers!C:C,"Not Found")</f>
        <v>Nashik</v>
      </c>
      <c r="O392" t="str">
        <f>IF(Sales_Data[[#This Row],[Total_Sales]]&gt;=50000,"High","Low")</f>
        <v>Low</v>
      </c>
    </row>
    <row r="393" spans="1:15" x14ac:dyDescent="0.3">
      <c r="A393">
        <v>1392</v>
      </c>
      <c r="B393" s="4">
        <v>46066</v>
      </c>
      <c r="C393" t="s">
        <v>34</v>
      </c>
      <c r="D393" t="s">
        <v>46</v>
      </c>
      <c r="E393">
        <v>2</v>
      </c>
      <c r="F393">
        <v>55000</v>
      </c>
      <c r="G393" t="s">
        <v>89</v>
      </c>
      <c r="H393" t="s">
        <v>88</v>
      </c>
      <c r="I393" t="s">
        <v>85</v>
      </c>
      <c r="J393">
        <v>110000</v>
      </c>
      <c r="K393" t="str">
        <f>_xlfn.XLOOKUP(Sales_Data[[#This Row],[Product_ID]],products!A:A,products!B:B,"Not Found")</f>
        <v>Laptop</v>
      </c>
      <c r="L393" t="str">
        <f>_xlfn.XLOOKUP(Sales_Data[[#This Row],[Product_ID]],products!A:A,products!C:C,"Not Found")</f>
        <v>Electronics</v>
      </c>
      <c r="M393" t="str">
        <f>_xlfn.XLOOKUP(C393,customers!A:A,customers!B:B,"Not Found")</f>
        <v>Riya Shah</v>
      </c>
      <c r="N393" t="str">
        <f>_xlfn.XLOOKUP(C392,customers!A:A,customers!C:C,"Not Found")</f>
        <v>Bhopal</v>
      </c>
      <c r="O393" t="str">
        <f>IF(Sales_Data[[#This Row],[Total_Sales]]&gt;=50000,"High","Low")</f>
        <v>High</v>
      </c>
    </row>
    <row r="394" spans="1:15" x14ac:dyDescent="0.3">
      <c r="A394">
        <v>1393</v>
      </c>
      <c r="B394" s="4">
        <v>46047</v>
      </c>
      <c r="C394" t="s">
        <v>38</v>
      </c>
      <c r="D394" t="s">
        <v>66</v>
      </c>
      <c r="E394">
        <v>1</v>
      </c>
      <c r="F394">
        <v>30000</v>
      </c>
      <c r="G394" t="s">
        <v>75</v>
      </c>
      <c r="H394" t="s">
        <v>76</v>
      </c>
      <c r="I394" t="s">
        <v>81</v>
      </c>
      <c r="J394">
        <v>30000</v>
      </c>
      <c r="K394" t="str">
        <f>_xlfn.XLOOKUP(Sales_Data[[#This Row],[Product_ID]],products!A:A,products!B:B,"Not Found")</f>
        <v>Smartphone</v>
      </c>
      <c r="L394" t="str">
        <f>_xlfn.XLOOKUP(Sales_Data[[#This Row],[Product_ID]],products!A:A,products!C:C,"Not Found")</f>
        <v>Electronics</v>
      </c>
      <c r="M394" t="str">
        <f>_xlfn.XLOOKUP(C394,customers!A:A,customers!B:B,"Not Found")</f>
        <v>Komal Pawar</v>
      </c>
      <c r="N394" t="str">
        <f>_xlfn.XLOOKUP(C393,customers!A:A,customers!C:C,"Not Found")</f>
        <v>Mumbai</v>
      </c>
      <c r="O394" t="str">
        <f>IF(Sales_Data[[#This Row],[Total_Sales]]&gt;=50000,"High","Low")</f>
        <v>Low</v>
      </c>
    </row>
    <row r="395" spans="1:15" x14ac:dyDescent="0.3">
      <c r="A395">
        <v>1394</v>
      </c>
      <c r="B395" s="4">
        <v>46042</v>
      </c>
      <c r="C395" t="s">
        <v>3</v>
      </c>
      <c r="D395" t="s">
        <v>56</v>
      </c>
      <c r="E395">
        <v>5</v>
      </c>
      <c r="F395">
        <v>3500</v>
      </c>
      <c r="G395" t="s">
        <v>80</v>
      </c>
      <c r="H395" t="s">
        <v>84</v>
      </c>
      <c r="I395" t="s">
        <v>77</v>
      </c>
      <c r="J395">
        <v>17500</v>
      </c>
      <c r="K395" t="str">
        <f>_xlfn.XLOOKUP(Sales_Data[[#This Row],[Product_ID]],products!A:A,products!B:B,"Not Found")</f>
        <v>Headphones</v>
      </c>
      <c r="L395" t="str">
        <f>_xlfn.XLOOKUP(Sales_Data[[#This Row],[Product_ID]],products!A:A,products!C:C,"Not Found")</f>
        <v>Accessories</v>
      </c>
      <c r="M395" t="str">
        <f>_xlfn.XLOOKUP(C395,customers!A:A,customers!B:B,"Not Found")</f>
        <v>Rahul Sharma</v>
      </c>
      <c r="N395" t="str">
        <f>_xlfn.XLOOKUP(C394,customers!A:A,customers!C:C,"Not Found")</f>
        <v>Indore</v>
      </c>
      <c r="O395" t="str">
        <f>IF(Sales_Data[[#This Row],[Total_Sales]]&gt;=50000,"High","Low")</f>
        <v>Low</v>
      </c>
    </row>
    <row r="396" spans="1:15" x14ac:dyDescent="0.3">
      <c r="A396">
        <v>1395</v>
      </c>
      <c r="B396" s="4">
        <v>46103</v>
      </c>
      <c r="C396" t="s">
        <v>40</v>
      </c>
      <c r="D396" t="s">
        <v>52</v>
      </c>
      <c r="E396">
        <v>1</v>
      </c>
      <c r="F396">
        <v>800</v>
      </c>
      <c r="G396" t="s">
        <v>75</v>
      </c>
      <c r="H396" t="s">
        <v>84</v>
      </c>
      <c r="I396" t="s">
        <v>87</v>
      </c>
      <c r="J396">
        <v>800</v>
      </c>
      <c r="K396" t="str">
        <f>_xlfn.XLOOKUP(Sales_Data[[#This Row],[Product_ID]],products!A:A,products!B:B,"Not Found")</f>
        <v>Mouse</v>
      </c>
      <c r="L396" t="str">
        <f>_xlfn.XLOOKUP(Sales_Data[[#This Row],[Product_ID]],products!A:A,products!C:C,"Not Found")</f>
        <v>Accessories</v>
      </c>
      <c r="M396" t="str">
        <f>_xlfn.XLOOKUP(C396,customers!A:A,customers!B:B,"Not Found")</f>
        <v>Nitin More</v>
      </c>
      <c r="N396" t="str">
        <f>_xlfn.XLOOKUP(C395,customers!A:A,customers!C:C,"Not Found")</f>
        <v>Nagpur</v>
      </c>
      <c r="O396" t="str">
        <f>IF(Sales_Data[[#This Row],[Total_Sales]]&gt;=50000,"High","Low")</f>
        <v>Low</v>
      </c>
    </row>
    <row r="397" spans="1:15" x14ac:dyDescent="0.3">
      <c r="A397">
        <v>1396</v>
      </c>
      <c r="B397" s="4">
        <v>46042</v>
      </c>
      <c r="C397" t="s">
        <v>40</v>
      </c>
      <c r="D397" t="s">
        <v>60</v>
      </c>
      <c r="E397">
        <v>5</v>
      </c>
      <c r="F397">
        <v>22000</v>
      </c>
      <c r="G397" t="s">
        <v>75</v>
      </c>
      <c r="H397" t="s">
        <v>84</v>
      </c>
      <c r="I397" t="s">
        <v>87</v>
      </c>
      <c r="J397">
        <v>110000</v>
      </c>
      <c r="K397" t="str">
        <f>_xlfn.XLOOKUP(Sales_Data[[#This Row],[Product_ID]],products!A:A,products!B:B,"Not Found")</f>
        <v>Tablet</v>
      </c>
      <c r="L397" t="str">
        <f>_xlfn.XLOOKUP(Sales_Data[[#This Row],[Product_ID]],products!A:A,products!C:C,"Not Found")</f>
        <v>Electronics</v>
      </c>
      <c r="M397" t="str">
        <f>_xlfn.XLOOKUP(C397,customers!A:A,customers!B:B,"Not Found")</f>
        <v>Nitin More</v>
      </c>
      <c r="N397" t="str">
        <f>_xlfn.XLOOKUP(C396,customers!A:A,customers!C:C,"Not Found")</f>
        <v>Nagpur</v>
      </c>
      <c r="O397" t="str">
        <f>IF(Sales_Data[[#This Row],[Total_Sales]]&gt;=50000,"High","Low")</f>
        <v>High</v>
      </c>
    </row>
    <row r="398" spans="1:15" x14ac:dyDescent="0.3">
      <c r="A398">
        <v>1397</v>
      </c>
      <c r="B398" s="4">
        <v>46122</v>
      </c>
      <c r="C398" t="s">
        <v>38</v>
      </c>
      <c r="D398" t="s">
        <v>66</v>
      </c>
      <c r="E398">
        <v>6</v>
      </c>
      <c r="F398">
        <v>30000</v>
      </c>
      <c r="G398" t="s">
        <v>89</v>
      </c>
      <c r="H398" t="s">
        <v>76</v>
      </c>
      <c r="I398" t="s">
        <v>77</v>
      </c>
      <c r="J398">
        <v>180000</v>
      </c>
      <c r="K398" t="str">
        <f>_xlfn.XLOOKUP(Sales_Data[[#This Row],[Product_ID]],products!A:A,products!B:B,"Not Found")</f>
        <v>Smartphone</v>
      </c>
      <c r="L398" t="str">
        <f>_xlfn.XLOOKUP(Sales_Data[[#This Row],[Product_ID]],products!A:A,products!C:C,"Not Found")</f>
        <v>Electronics</v>
      </c>
      <c r="M398" t="str">
        <f>_xlfn.XLOOKUP(C398,customers!A:A,customers!B:B,"Not Found")</f>
        <v>Komal Pawar</v>
      </c>
      <c r="N398" t="str">
        <f>_xlfn.XLOOKUP(C397,customers!A:A,customers!C:C,"Not Found")</f>
        <v>Nagpur</v>
      </c>
      <c r="O398" t="str">
        <f>IF(Sales_Data[[#This Row],[Total_Sales]]&gt;=50000,"High","Low")</f>
        <v>High</v>
      </c>
    </row>
    <row r="399" spans="1:15" x14ac:dyDescent="0.3">
      <c r="A399">
        <v>1398</v>
      </c>
      <c r="B399" s="4">
        <v>46111</v>
      </c>
      <c r="C399" t="s">
        <v>34</v>
      </c>
      <c r="D399" t="s">
        <v>64</v>
      </c>
      <c r="E399">
        <v>1</v>
      </c>
      <c r="F399">
        <v>900</v>
      </c>
      <c r="G399" t="s">
        <v>78</v>
      </c>
      <c r="H399" t="s">
        <v>88</v>
      </c>
      <c r="I399" t="s">
        <v>87</v>
      </c>
      <c r="J399">
        <v>900</v>
      </c>
      <c r="K399" t="str">
        <f>_xlfn.XLOOKUP(Sales_Data[[#This Row],[Product_ID]],products!A:A,products!B:B,"Not Found")</f>
        <v>USB Drive</v>
      </c>
      <c r="L399" t="str">
        <f>_xlfn.XLOOKUP(Sales_Data[[#This Row],[Product_ID]],products!A:A,products!C:C,"Not Found")</f>
        <v>Accessories</v>
      </c>
      <c r="M399" t="str">
        <f>_xlfn.XLOOKUP(C399,customers!A:A,customers!B:B,"Not Found")</f>
        <v>Riya Shah</v>
      </c>
      <c r="N399" t="str">
        <f>_xlfn.XLOOKUP(C398,customers!A:A,customers!C:C,"Not Found")</f>
        <v>Indore</v>
      </c>
      <c r="O399" t="str">
        <f>IF(Sales_Data[[#This Row],[Total_Sales]]&gt;=50000,"High","Low")</f>
        <v>Low</v>
      </c>
    </row>
    <row r="400" spans="1:15" x14ac:dyDescent="0.3">
      <c r="A400">
        <v>1399</v>
      </c>
      <c r="B400" s="4">
        <v>46177</v>
      </c>
      <c r="C400" t="s">
        <v>18</v>
      </c>
      <c r="D400" t="s">
        <v>49</v>
      </c>
      <c r="E400">
        <v>7</v>
      </c>
      <c r="F400">
        <v>2500</v>
      </c>
      <c r="G400" t="s">
        <v>82</v>
      </c>
      <c r="H400" t="s">
        <v>79</v>
      </c>
      <c r="I400" t="s">
        <v>85</v>
      </c>
      <c r="J400">
        <v>17500</v>
      </c>
      <c r="K400" t="str">
        <f>_xlfn.XLOOKUP(Sales_Data[[#This Row],[Product_ID]],products!A:A,products!B:B,"Not Found")</f>
        <v>Keyboard</v>
      </c>
      <c r="L400" t="str">
        <f>_xlfn.XLOOKUP(Sales_Data[[#This Row],[Product_ID]],products!A:A,products!C:C,"Not Found")</f>
        <v>Accessories</v>
      </c>
      <c r="M400" t="str">
        <f>_xlfn.XLOOKUP(C400,customers!A:A,customers!B:B,"Not Found")</f>
        <v>Neha Gupta</v>
      </c>
      <c r="N400" t="str">
        <f>_xlfn.XLOOKUP(C399,customers!A:A,customers!C:C,"Not Found")</f>
        <v>Mumbai</v>
      </c>
      <c r="O400" t="str">
        <f>IF(Sales_Data[[#This Row],[Total_Sales]]&gt;=50000,"High","Low")</f>
        <v>Low</v>
      </c>
    </row>
    <row r="401" spans="1:15" x14ac:dyDescent="0.3">
      <c r="A401">
        <v>1400</v>
      </c>
      <c r="B401" s="4">
        <v>46081</v>
      </c>
      <c r="C401" t="s">
        <v>24</v>
      </c>
      <c r="D401" t="s">
        <v>62</v>
      </c>
      <c r="E401">
        <v>6</v>
      </c>
      <c r="F401">
        <v>3000</v>
      </c>
      <c r="G401" t="s">
        <v>80</v>
      </c>
      <c r="H401" t="s">
        <v>88</v>
      </c>
      <c r="I401" t="s">
        <v>81</v>
      </c>
      <c r="J401">
        <v>18000</v>
      </c>
      <c r="K401" t="str">
        <f>_xlfn.XLOOKUP(Sales_Data[[#This Row],[Product_ID]],products!A:A,products!B:B,"Not Found")</f>
        <v>Webcam</v>
      </c>
      <c r="L401" t="str">
        <f>_xlfn.XLOOKUP(Sales_Data[[#This Row],[Product_ID]],products!A:A,products!C:C,"Not Found")</f>
        <v>Accessories</v>
      </c>
      <c r="M401" t="str">
        <f>_xlfn.XLOOKUP(C401,customers!A:A,customers!B:B,"Not Found")</f>
        <v>Pooja Deshmukh</v>
      </c>
      <c r="N401" t="str">
        <f>_xlfn.XLOOKUP(C400,customers!A:A,customers!C:C,"Not Found")</f>
        <v>Indore</v>
      </c>
      <c r="O401" t="str">
        <f>IF(Sales_Data[[#This Row],[Total_Sales]]&gt;=50000,"High","Low")</f>
        <v>Low</v>
      </c>
    </row>
    <row r="402" spans="1:15" x14ac:dyDescent="0.3">
      <c r="A402">
        <v>1401</v>
      </c>
      <c r="B402" s="4">
        <v>46172</v>
      </c>
      <c r="C402" t="s">
        <v>32</v>
      </c>
      <c r="D402" t="s">
        <v>52</v>
      </c>
      <c r="E402">
        <v>7</v>
      </c>
      <c r="F402">
        <v>800</v>
      </c>
      <c r="G402" t="s">
        <v>78</v>
      </c>
      <c r="H402" t="s">
        <v>84</v>
      </c>
      <c r="I402" t="s">
        <v>85</v>
      </c>
      <c r="J402">
        <v>5600</v>
      </c>
      <c r="K402" t="str">
        <f>_xlfn.XLOOKUP(Sales_Data[[#This Row],[Product_ID]],products!A:A,products!B:B,"Not Found")</f>
        <v>Mouse</v>
      </c>
      <c r="L402" t="str">
        <f>_xlfn.XLOOKUP(Sales_Data[[#This Row],[Product_ID]],products!A:A,products!C:C,"Not Found")</f>
        <v>Accessories</v>
      </c>
      <c r="M402" t="str">
        <f>_xlfn.XLOOKUP(C402,customers!A:A,customers!B:B,"Not Found")</f>
        <v>Sahil Khan</v>
      </c>
      <c r="N402" t="str">
        <f>_xlfn.XLOOKUP(C401,customers!A:A,customers!C:C,"Not Found")</f>
        <v>Aurangabad</v>
      </c>
      <c r="O402" t="str">
        <f>IF(Sales_Data[[#This Row],[Total_Sales]]&gt;=50000,"High","Low")</f>
        <v>Low</v>
      </c>
    </row>
    <row r="403" spans="1:15" x14ac:dyDescent="0.3">
      <c r="A403">
        <v>1402</v>
      </c>
      <c r="B403" s="4">
        <v>46041</v>
      </c>
      <c r="C403" t="s">
        <v>34</v>
      </c>
      <c r="D403" t="s">
        <v>54</v>
      </c>
      <c r="E403">
        <v>2</v>
      </c>
      <c r="F403">
        <v>15000</v>
      </c>
      <c r="G403" t="s">
        <v>82</v>
      </c>
      <c r="H403" t="s">
        <v>76</v>
      </c>
      <c r="I403" t="s">
        <v>81</v>
      </c>
      <c r="J403">
        <v>30000</v>
      </c>
      <c r="K403" t="str">
        <f>_xlfn.XLOOKUP(Sales_Data[[#This Row],[Product_ID]],products!A:A,products!B:B,"Not Found")</f>
        <v>Monitor</v>
      </c>
      <c r="L403" t="str">
        <f>_xlfn.XLOOKUP(Sales_Data[[#This Row],[Product_ID]],products!A:A,products!C:C,"Not Found")</f>
        <v>Electronics</v>
      </c>
      <c r="M403" t="str">
        <f>_xlfn.XLOOKUP(C403,customers!A:A,customers!B:B,"Not Found")</f>
        <v>Riya Shah</v>
      </c>
      <c r="N403" t="str">
        <f>_xlfn.XLOOKUP(C402,customers!A:A,customers!C:C,"Not Found")</f>
        <v>Pune</v>
      </c>
      <c r="O403" t="str">
        <f>IF(Sales_Data[[#This Row],[Total_Sales]]&gt;=50000,"High","Low")</f>
        <v>Low</v>
      </c>
    </row>
    <row r="404" spans="1:15" x14ac:dyDescent="0.3">
      <c r="A404">
        <v>1403</v>
      </c>
      <c r="B404" s="4">
        <v>46122</v>
      </c>
      <c r="C404" t="s">
        <v>34</v>
      </c>
      <c r="D404" t="s">
        <v>52</v>
      </c>
      <c r="E404">
        <v>6</v>
      </c>
      <c r="F404">
        <v>800</v>
      </c>
      <c r="G404" t="s">
        <v>82</v>
      </c>
      <c r="H404" t="s">
        <v>79</v>
      </c>
      <c r="I404" t="s">
        <v>77</v>
      </c>
      <c r="J404">
        <v>4800</v>
      </c>
      <c r="K404" t="str">
        <f>_xlfn.XLOOKUP(Sales_Data[[#This Row],[Product_ID]],products!A:A,products!B:B,"Not Found")</f>
        <v>Mouse</v>
      </c>
      <c r="L404" t="str">
        <f>_xlfn.XLOOKUP(Sales_Data[[#This Row],[Product_ID]],products!A:A,products!C:C,"Not Found")</f>
        <v>Accessories</v>
      </c>
      <c r="M404" t="str">
        <f>_xlfn.XLOOKUP(C404,customers!A:A,customers!B:B,"Not Found")</f>
        <v>Riya Shah</v>
      </c>
      <c r="N404" t="str">
        <f>_xlfn.XLOOKUP(C403,customers!A:A,customers!C:C,"Not Found")</f>
        <v>Mumbai</v>
      </c>
      <c r="O404" t="str">
        <f>IF(Sales_Data[[#This Row],[Total_Sales]]&gt;=50000,"High","Low")</f>
        <v>Low</v>
      </c>
    </row>
    <row r="405" spans="1:15" x14ac:dyDescent="0.3">
      <c r="A405">
        <v>1404</v>
      </c>
      <c r="B405" s="4">
        <v>46136</v>
      </c>
      <c r="C405" t="s">
        <v>15</v>
      </c>
      <c r="D405" t="s">
        <v>46</v>
      </c>
      <c r="E405">
        <v>6</v>
      </c>
      <c r="F405">
        <v>55000</v>
      </c>
      <c r="G405" t="s">
        <v>82</v>
      </c>
      <c r="H405" t="s">
        <v>79</v>
      </c>
      <c r="I405" t="s">
        <v>87</v>
      </c>
      <c r="J405">
        <v>330000</v>
      </c>
      <c r="K405" t="str">
        <f>_xlfn.XLOOKUP(Sales_Data[[#This Row],[Product_ID]],products!A:A,products!B:B,"Not Found")</f>
        <v>Laptop</v>
      </c>
      <c r="L405" t="str">
        <f>_xlfn.XLOOKUP(Sales_Data[[#This Row],[Product_ID]],products!A:A,products!C:C,"Not Found")</f>
        <v>Electronics</v>
      </c>
      <c r="M405" t="str">
        <f>_xlfn.XLOOKUP(C405,customers!A:A,customers!B:B,"Not Found")</f>
        <v>Rohit Singh</v>
      </c>
      <c r="N405" t="str">
        <f>_xlfn.XLOOKUP(C404,customers!A:A,customers!C:C,"Not Found")</f>
        <v>Mumbai</v>
      </c>
      <c r="O405" t="str">
        <f>IF(Sales_Data[[#This Row],[Total_Sales]]&gt;=50000,"High","Low")</f>
        <v>High</v>
      </c>
    </row>
    <row r="406" spans="1:15" x14ac:dyDescent="0.3">
      <c r="A406">
        <v>1405</v>
      </c>
      <c r="B406" s="4">
        <v>46133</v>
      </c>
      <c r="C406" t="s">
        <v>9</v>
      </c>
      <c r="D406" t="s">
        <v>49</v>
      </c>
      <c r="E406">
        <v>8</v>
      </c>
      <c r="F406">
        <v>2500</v>
      </c>
      <c r="G406" t="s">
        <v>80</v>
      </c>
      <c r="H406" t="s">
        <v>84</v>
      </c>
      <c r="I406" t="s">
        <v>81</v>
      </c>
      <c r="J406">
        <v>20000</v>
      </c>
      <c r="K406" t="str">
        <f>_xlfn.XLOOKUP(Sales_Data[[#This Row],[Product_ID]],products!A:A,products!B:B,"Not Found")</f>
        <v>Keyboard</v>
      </c>
      <c r="L406" t="str">
        <f>_xlfn.XLOOKUP(Sales_Data[[#This Row],[Product_ID]],products!A:A,products!C:C,"Not Found")</f>
        <v>Accessories</v>
      </c>
      <c r="M406" t="str">
        <f>_xlfn.XLOOKUP(C406,customers!A:A,customers!B:B,"Not Found")</f>
        <v>Amit Verma</v>
      </c>
      <c r="N406" t="str">
        <f>_xlfn.XLOOKUP(C405,customers!A:A,customers!C:C,"Not Found")</f>
        <v>Delhi</v>
      </c>
      <c r="O406" t="str">
        <f>IF(Sales_Data[[#This Row],[Total_Sales]]&gt;=50000,"High","Low")</f>
        <v>Low</v>
      </c>
    </row>
    <row r="407" spans="1:15" x14ac:dyDescent="0.3">
      <c r="A407">
        <v>1406</v>
      </c>
      <c r="B407" s="4">
        <v>46045</v>
      </c>
      <c r="C407" t="s">
        <v>3</v>
      </c>
      <c r="D407" t="s">
        <v>49</v>
      </c>
      <c r="E407">
        <v>6</v>
      </c>
      <c r="F407">
        <v>2500</v>
      </c>
      <c r="G407" t="s">
        <v>80</v>
      </c>
      <c r="H407" t="s">
        <v>79</v>
      </c>
      <c r="I407" t="s">
        <v>85</v>
      </c>
      <c r="J407">
        <v>15000</v>
      </c>
      <c r="K407" t="str">
        <f>_xlfn.XLOOKUP(Sales_Data[[#This Row],[Product_ID]],products!A:A,products!B:B,"Not Found")</f>
        <v>Keyboard</v>
      </c>
      <c r="L407" t="str">
        <f>_xlfn.XLOOKUP(Sales_Data[[#This Row],[Product_ID]],products!A:A,products!C:C,"Not Found")</f>
        <v>Accessories</v>
      </c>
      <c r="M407" t="str">
        <f>_xlfn.XLOOKUP(C407,customers!A:A,customers!B:B,"Not Found")</f>
        <v>Rahul Sharma</v>
      </c>
      <c r="N407" t="str">
        <f>_xlfn.XLOOKUP(C406,customers!A:A,customers!C:C,"Not Found")</f>
        <v>Mumbai</v>
      </c>
      <c r="O407" t="str">
        <f>IF(Sales_Data[[#This Row],[Total_Sales]]&gt;=50000,"High","Low")</f>
        <v>Low</v>
      </c>
    </row>
    <row r="408" spans="1:15" x14ac:dyDescent="0.3">
      <c r="A408">
        <v>1407</v>
      </c>
      <c r="B408" s="4">
        <v>46097</v>
      </c>
      <c r="C408" t="s">
        <v>3</v>
      </c>
      <c r="D408" t="s">
        <v>60</v>
      </c>
      <c r="E408">
        <v>7</v>
      </c>
      <c r="F408">
        <v>22000</v>
      </c>
      <c r="G408" t="s">
        <v>89</v>
      </c>
      <c r="H408" t="s">
        <v>79</v>
      </c>
      <c r="I408" t="s">
        <v>87</v>
      </c>
      <c r="J408">
        <v>154000</v>
      </c>
      <c r="K408" t="str">
        <f>_xlfn.XLOOKUP(Sales_Data[[#This Row],[Product_ID]],products!A:A,products!B:B,"Not Found")</f>
        <v>Tablet</v>
      </c>
      <c r="L408" t="str">
        <f>_xlfn.XLOOKUP(Sales_Data[[#This Row],[Product_ID]],products!A:A,products!C:C,"Not Found")</f>
        <v>Electronics</v>
      </c>
      <c r="M408" t="str">
        <f>_xlfn.XLOOKUP(C408,customers!A:A,customers!B:B,"Not Found")</f>
        <v>Rahul Sharma</v>
      </c>
      <c r="N408" t="str">
        <f>_xlfn.XLOOKUP(C407,customers!A:A,customers!C:C,"Not Found")</f>
        <v>Nagpur</v>
      </c>
      <c r="O408" t="str">
        <f>IF(Sales_Data[[#This Row],[Total_Sales]]&gt;=50000,"High","Low")</f>
        <v>High</v>
      </c>
    </row>
    <row r="409" spans="1:15" x14ac:dyDescent="0.3">
      <c r="A409">
        <v>1408</v>
      </c>
      <c r="B409" s="4">
        <v>46066</v>
      </c>
      <c r="C409" t="s">
        <v>27</v>
      </c>
      <c r="D409" t="s">
        <v>66</v>
      </c>
      <c r="E409">
        <v>7</v>
      </c>
      <c r="F409">
        <v>30000</v>
      </c>
      <c r="G409" t="s">
        <v>75</v>
      </c>
      <c r="H409" t="s">
        <v>76</v>
      </c>
      <c r="I409" t="s">
        <v>85</v>
      </c>
      <c r="J409">
        <v>210000</v>
      </c>
      <c r="K409" t="str">
        <f>_xlfn.XLOOKUP(Sales_Data[[#This Row],[Product_ID]],products!A:A,products!B:B,"Not Found")</f>
        <v>Smartphone</v>
      </c>
      <c r="L409" t="str">
        <f>_xlfn.XLOOKUP(Sales_Data[[#This Row],[Product_ID]],products!A:A,products!C:C,"Not Found")</f>
        <v>Electronics</v>
      </c>
      <c r="M409" t="str">
        <f>_xlfn.XLOOKUP(C409,customers!A:A,customers!B:B,"Not Found")</f>
        <v>Vikas Yadav</v>
      </c>
      <c r="N409" t="str">
        <f>_xlfn.XLOOKUP(C408,customers!A:A,customers!C:C,"Not Found")</f>
        <v>Nagpur</v>
      </c>
      <c r="O409" t="str">
        <f>IF(Sales_Data[[#This Row],[Total_Sales]]&gt;=50000,"High","Low")</f>
        <v>High</v>
      </c>
    </row>
    <row r="410" spans="1:15" x14ac:dyDescent="0.3">
      <c r="A410">
        <v>1409</v>
      </c>
      <c r="B410" s="4">
        <v>46149</v>
      </c>
      <c r="C410" t="s">
        <v>15</v>
      </c>
      <c r="D410" t="s">
        <v>56</v>
      </c>
      <c r="E410">
        <v>3</v>
      </c>
      <c r="F410">
        <v>3500</v>
      </c>
      <c r="G410" t="s">
        <v>78</v>
      </c>
      <c r="H410" t="s">
        <v>76</v>
      </c>
      <c r="I410" t="s">
        <v>81</v>
      </c>
      <c r="J410">
        <v>10500</v>
      </c>
      <c r="K410" t="str">
        <f>_xlfn.XLOOKUP(Sales_Data[[#This Row],[Product_ID]],products!A:A,products!B:B,"Not Found")</f>
        <v>Headphones</v>
      </c>
      <c r="L410" t="str">
        <f>_xlfn.XLOOKUP(Sales_Data[[#This Row],[Product_ID]],products!A:A,products!C:C,"Not Found")</f>
        <v>Accessories</v>
      </c>
      <c r="M410" t="str">
        <f>_xlfn.XLOOKUP(C410,customers!A:A,customers!B:B,"Not Found")</f>
        <v>Rohit Singh</v>
      </c>
      <c r="N410" t="str">
        <f>_xlfn.XLOOKUP(C409,customers!A:A,customers!C:C,"Not Found")</f>
        <v>Thane</v>
      </c>
      <c r="O410" t="str">
        <f>IF(Sales_Data[[#This Row],[Total_Sales]]&gt;=50000,"High","Low")</f>
        <v>Low</v>
      </c>
    </row>
    <row r="411" spans="1:15" x14ac:dyDescent="0.3">
      <c r="A411">
        <v>1410</v>
      </c>
      <c r="B411" s="4">
        <v>46099</v>
      </c>
      <c r="C411" t="s">
        <v>21</v>
      </c>
      <c r="D411" t="s">
        <v>56</v>
      </c>
      <c r="E411">
        <v>8</v>
      </c>
      <c r="F411">
        <v>3500</v>
      </c>
      <c r="G411" t="s">
        <v>78</v>
      </c>
      <c r="H411" t="s">
        <v>83</v>
      </c>
      <c r="I411" t="s">
        <v>85</v>
      </c>
      <c r="J411">
        <v>28000</v>
      </c>
      <c r="K411" t="str">
        <f>_xlfn.XLOOKUP(Sales_Data[[#This Row],[Product_ID]],products!A:A,products!B:B,"Not Found")</f>
        <v>Headphones</v>
      </c>
      <c r="L411" t="str">
        <f>_xlfn.XLOOKUP(Sales_Data[[#This Row],[Product_ID]],products!A:A,products!C:C,"Not Found")</f>
        <v>Accessories</v>
      </c>
      <c r="M411" t="str">
        <f>_xlfn.XLOOKUP(C411,customers!A:A,customers!B:B,"Not Found")</f>
        <v>Karan Mehta</v>
      </c>
      <c r="N411" t="str">
        <f>_xlfn.XLOOKUP(C410,customers!A:A,customers!C:C,"Not Found")</f>
        <v>Delhi</v>
      </c>
      <c r="O411" t="str">
        <f>IF(Sales_Data[[#This Row],[Total_Sales]]&gt;=50000,"High","Low")</f>
        <v>Low</v>
      </c>
    </row>
    <row r="412" spans="1:15" x14ac:dyDescent="0.3">
      <c r="A412">
        <v>1411</v>
      </c>
      <c r="B412" s="4">
        <v>46183</v>
      </c>
      <c r="C412" t="s">
        <v>34</v>
      </c>
      <c r="D412" t="s">
        <v>54</v>
      </c>
      <c r="E412">
        <v>8</v>
      </c>
      <c r="F412">
        <v>15000</v>
      </c>
      <c r="G412" t="s">
        <v>80</v>
      </c>
      <c r="H412" t="s">
        <v>84</v>
      </c>
      <c r="I412" t="s">
        <v>87</v>
      </c>
      <c r="J412">
        <v>120000</v>
      </c>
      <c r="K412" t="str">
        <f>_xlfn.XLOOKUP(Sales_Data[[#This Row],[Product_ID]],products!A:A,products!B:B,"Not Found")</f>
        <v>Monitor</v>
      </c>
      <c r="L412" t="str">
        <f>_xlfn.XLOOKUP(Sales_Data[[#This Row],[Product_ID]],products!A:A,products!C:C,"Not Found")</f>
        <v>Electronics</v>
      </c>
      <c r="M412" t="str">
        <f>_xlfn.XLOOKUP(C412,customers!A:A,customers!B:B,"Not Found")</f>
        <v>Riya Shah</v>
      </c>
      <c r="N412" t="str">
        <f>_xlfn.XLOOKUP(C411,customers!A:A,customers!C:C,"Not Found")</f>
        <v>Bhopal</v>
      </c>
      <c r="O412" t="str">
        <f>IF(Sales_Data[[#This Row],[Total_Sales]]&gt;=50000,"High","Low")</f>
        <v>High</v>
      </c>
    </row>
    <row r="413" spans="1:15" x14ac:dyDescent="0.3">
      <c r="A413">
        <v>1412</v>
      </c>
      <c r="B413" s="4">
        <v>46057</v>
      </c>
      <c r="C413" t="s">
        <v>6</v>
      </c>
      <c r="D413" t="s">
        <v>62</v>
      </c>
      <c r="E413">
        <v>5</v>
      </c>
      <c r="F413">
        <v>3000</v>
      </c>
      <c r="G413" t="s">
        <v>78</v>
      </c>
      <c r="H413" t="s">
        <v>88</v>
      </c>
      <c r="I413" t="s">
        <v>85</v>
      </c>
      <c r="J413">
        <v>15000</v>
      </c>
      <c r="K413" t="str">
        <f>_xlfn.XLOOKUP(Sales_Data[[#This Row],[Product_ID]],products!A:A,products!B:B,"Not Found")</f>
        <v>Webcam</v>
      </c>
      <c r="L413" t="str">
        <f>_xlfn.XLOOKUP(Sales_Data[[#This Row],[Product_ID]],products!A:A,products!C:C,"Not Found")</f>
        <v>Accessories</v>
      </c>
      <c r="M413" t="str">
        <f>_xlfn.XLOOKUP(C413,customers!A:A,customers!B:B,"Not Found")</f>
        <v>Priya Patil</v>
      </c>
      <c r="N413" t="str">
        <f>_xlfn.XLOOKUP(C412,customers!A:A,customers!C:C,"Not Found")</f>
        <v>Mumbai</v>
      </c>
      <c r="O413" t="str">
        <f>IF(Sales_Data[[#This Row],[Total_Sales]]&gt;=50000,"High","Low")</f>
        <v>Low</v>
      </c>
    </row>
    <row r="414" spans="1:15" x14ac:dyDescent="0.3">
      <c r="A414">
        <v>1413</v>
      </c>
      <c r="B414" s="4">
        <v>46107</v>
      </c>
      <c r="C414" t="s">
        <v>21</v>
      </c>
      <c r="D414" t="s">
        <v>66</v>
      </c>
      <c r="E414">
        <v>8</v>
      </c>
      <c r="F414">
        <v>30000</v>
      </c>
      <c r="G414" t="s">
        <v>82</v>
      </c>
      <c r="H414" t="s">
        <v>88</v>
      </c>
      <c r="I414" t="s">
        <v>87</v>
      </c>
      <c r="J414">
        <v>240000</v>
      </c>
      <c r="K414" t="str">
        <f>_xlfn.XLOOKUP(Sales_Data[[#This Row],[Product_ID]],products!A:A,products!B:B,"Not Found")</f>
        <v>Smartphone</v>
      </c>
      <c r="L414" t="str">
        <f>_xlfn.XLOOKUP(Sales_Data[[#This Row],[Product_ID]],products!A:A,products!C:C,"Not Found")</f>
        <v>Electronics</v>
      </c>
      <c r="M414" t="str">
        <f>_xlfn.XLOOKUP(C414,customers!A:A,customers!B:B,"Not Found")</f>
        <v>Karan Mehta</v>
      </c>
      <c r="N414" t="str">
        <f>_xlfn.XLOOKUP(C413,customers!A:A,customers!C:C,"Not Found")</f>
        <v>Pune</v>
      </c>
      <c r="O414" t="str">
        <f>IF(Sales_Data[[#This Row],[Total_Sales]]&gt;=50000,"High","Low")</f>
        <v>High</v>
      </c>
    </row>
    <row r="415" spans="1:15" x14ac:dyDescent="0.3">
      <c r="A415">
        <v>1414</v>
      </c>
      <c r="B415" s="4">
        <v>46177</v>
      </c>
      <c r="C415" t="s">
        <v>18</v>
      </c>
      <c r="D415" t="s">
        <v>56</v>
      </c>
      <c r="E415">
        <v>4</v>
      </c>
      <c r="F415">
        <v>3500</v>
      </c>
      <c r="G415" t="s">
        <v>89</v>
      </c>
      <c r="H415" t="s">
        <v>83</v>
      </c>
      <c r="I415" t="s">
        <v>87</v>
      </c>
      <c r="J415">
        <v>14000</v>
      </c>
      <c r="K415" t="str">
        <f>_xlfn.XLOOKUP(Sales_Data[[#This Row],[Product_ID]],products!A:A,products!B:B,"Not Found")</f>
        <v>Headphones</v>
      </c>
      <c r="L415" t="str">
        <f>_xlfn.XLOOKUP(Sales_Data[[#This Row],[Product_ID]],products!A:A,products!C:C,"Not Found")</f>
        <v>Accessories</v>
      </c>
      <c r="M415" t="str">
        <f>_xlfn.XLOOKUP(C415,customers!A:A,customers!B:B,"Not Found")</f>
        <v>Neha Gupta</v>
      </c>
      <c r="N415" t="str">
        <f>_xlfn.XLOOKUP(C414,customers!A:A,customers!C:C,"Not Found")</f>
        <v>Bhopal</v>
      </c>
      <c r="O415" t="str">
        <f>IF(Sales_Data[[#This Row],[Total_Sales]]&gt;=50000,"High","Low")</f>
        <v>Low</v>
      </c>
    </row>
    <row r="416" spans="1:15" x14ac:dyDescent="0.3">
      <c r="A416">
        <v>1415</v>
      </c>
      <c r="B416" s="4">
        <v>46097</v>
      </c>
      <c r="C416" t="s">
        <v>18</v>
      </c>
      <c r="D416" t="s">
        <v>60</v>
      </c>
      <c r="E416">
        <v>8</v>
      </c>
      <c r="F416">
        <v>22000</v>
      </c>
      <c r="G416" t="s">
        <v>80</v>
      </c>
      <c r="H416" t="s">
        <v>76</v>
      </c>
      <c r="I416" t="s">
        <v>85</v>
      </c>
      <c r="J416">
        <v>176000</v>
      </c>
      <c r="K416" t="str">
        <f>_xlfn.XLOOKUP(Sales_Data[[#This Row],[Product_ID]],products!A:A,products!B:B,"Not Found")</f>
        <v>Tablet</v>
      </c>
      <c r="L416" t="str">
        <f>_xlfn.XLOOKUP(Sales_Data[[#This Row],[Product_ID]],products!A:A,products!C:C,"Not Found")</f>
        <v>Electronics</v>
      </c>
      <c r="M416" t="str">
        <f>_xlfn.XLOOKUP(C416,customers!A:A,customers!B:B,"Not Found")</f>
        <v>Neha Gupta</v>
      </c>
      <c r="N416" t="str">
        <f>_xlfn.XLOOKUP(C415,customers!A:A,customers!C:C,"Not Found")</f>
        <v>Indore</v>
      </c>
      <c r="O416" t="str">
        <f>IF(Sales_Data[[#This Row],[Total_Sales]]&gt;=50000,"High","Low")</f>
        <v>High</v>
      </c>
    </row>
    <row r="417" spans="1:15" x14ac:dyDescent="0.3">
      <c r="A417">
        <v>1416</v>
      </c>
      <c r="B417" s="4">
        <v>46123</v>
      </c>
      <c r="C417" t="s">
        <v>15</v>
      </c>
      <c r="D417" t="s">
        <v>60</v>
      </c>
      <c r="E417">
        <v>6</v>
      </c>
      <c r="F417">
        <v>22000</v>
      </c>
      <c r="G417" t="s">
        <v>78</v>
      </c>
      <c r="H417" t="s">
        <v>84</v>
      </c>
      <c r="I417" t="s">
        <v>87</v>
      </c>
      <c r="J417">
        <v>132000</v>
      </c>
      <c r="K417" t="str">
        <f>_xlfn.XLOOKUP(Sales_Data[[#This Row],[Product_ID]],products!A:A,products!B:B,"Not Found")</f>
        <v>Tablet</v>
      </c>
      <c r="L417" t="str">
        <f>_xlfn.XLOOKUP(Sales_Data[[#This Row],[Product_ID]],products!A:A,products!C:C,"Not Found")</f>
        <v>Electronics</v>
      </c>
      <c r="M417" t="str">
        <f>_xlfn.XLOOKUP(C417,customers!A:A,customers!B:B,"Not Found")</f>
        <v>Rohit Singh</v>
      </c>
      <c r="N417" t="str">
        <f>_xlfn.XLOOKUP(C416,customers!A:A,customers!C:C,"Not Found")</f>
        <v>Indore</v>
      </c>
      <c r="O417" t="str">
        <f>IF(Sales_Data[[#This Row],[Total_Sales]]&gt;=50000,"High","Low")</f>
        <v>High</v>
      </c>
    </row>
    <row r="418" spans="1:15" x14ac:dyDescent="0.3">
      <c r="A418">
        <v>1417</v>
      </c>
      <c r="B418" s="4">
        <v>46069</v>
      </c>
      <c r="C418" t="s">
        <v>27</v>
      </c>
      <c r="D418" t="s">
        <v>66</v>
      </c>
      <c r="E418">
        <v>1</v>
      </c>
      <c r="F418">
        <v>30000</v>
      </c>
      <c r="G418" t="s">
        <v>86</v>
      </c>
      <c r="H418" t="s">
        <v>88</v>
      </c>
      <c r="I418" t="s">
        <v>87</v>
      </c>
      <c r="J418">
        <v>30000</v>
      </c>
      <c r="K418" t="str">
        <f>_xlfn.XLOOKUP(Sales_Data[[#This Row],[Product_ID]],products!A:A,products!B:B,"Not Found")</f>
        <v>Smartphone</v>
      </c>
      <c r="L418" t="str">
        <f>_xlfn.XLOOKUP(Sales_Data[[#This Row],[Product_ID]],products!A:A,products!C:C,"Not Found")</f>
        <v>Electronics</v>
      </c>
      <c r="M418" t="str">
        <f>_xlfn.XLOOKUP(C418,customers!A:A,customers!B:B,"Not Found")</f>
        <v>Vikas Yadav</v>
      </c>
      <c r="N418" t="str">
        <f>_xlfn.XLOOKUP(C417,customers!A:A,customers!C:C,"Not Found")</f>
        <v>Delhi</v>
      </c>
      <c r="O418" t="str">
        <f>IF(Sales_Data[[#This Row],[Total_Sales]]&gt;=50000,"High","Low")</f>
        <v>Low</v>
      </c>
    </row>
    <row r="419" spans="1:15" x14ac:dyDescent="0.3">
      <c r="A419">
        <v>1418</v>
      </c>
      <c r="B419" s="4">
        <v>46097</v>
      </c>
      <c r="C419" t="s">
        <v>36</v>
      </c>
      <c r="D419" t="s">
        <v>62</v>
      </c>
      <c r="E419">
        <v>2</v>
      </c>
      <c r="F419">
        <v>3000</v>
      </c>
      <c r="G419" t="s">
        <v>89</v>
      </c>
      <c r="H419" t="s">
        <v>88</v>
      </c>
      <c r="I419" t="s">
        <v>87</v>
      </c>
      <c r="J419">
        <v>6000</v>
      </c>
      <c r="K419" t="str">
        <f>_xlfn.XLOOKUP(Sales_Data[[#This Row],[Product_ID]],products!A:A,products!B:B,"Not Found")</f>
        <v>Webcam</v>
      </c>
      <c r="L419" t="str">
        <f>_xlfn.XLOOKUP(Sales_Data[[#This Row],[Product_ID]],products!A:A,products!C:C,"Not Found")</f>
        <v>Accessories</v>
      </c>
      <c r="M419" t="str">
        <f>_xlfn.XLOOKUP(C419,customers!A:A,customers!B:B,"Not Found")</f>
        <v>Akash Jain</v>
      </c>
      <c r="N419" t="str">
        <f>_xlfn.XLOOKUP(C418,customers!A:A,customers!C:C,"Not Found")</f>
        <v>Thane</v>
      </c>
      <c r="O419" t="str">
        <f>IF(Sales_Data[[#This Row],[Total_Sales]]&gt;=50000,"High","Low")</f>
        <v>Low</v>
      </c>
    </row>
    <row r="420" spans="1:15" x14ac:dyDescent="0.3">
      <c r="A420">
        <v>1419</v>
      </c>
      <c r="B420" s="4">
        <v>46087</v>
      </c>
      <c r="C420" t="s">
        <v>12</v>
      </c>
      <c r="D420" t="s">
        <v>56</v>
      </c>
      <c r="E420">
        <v>3</v>
      </c>
      <c r="F420">
        <v>3500</v>
      </c>
      <c r="G420" t="s">
        <v>86</v>
      </c>
      <c r="H420" t="s">
        <v>88</v>
      </c>
      <c r="I420" t="s">
        <v>81</v>
      </c>
      <c r="J420">
        <v>10500</v>
      </c>
      <c r="K420" t="str">
        <f>_xlfn.XLOOKUP(Sales_Data[[#This Row],[Product_ID]],products!A:A,products!B:B,"Not Found")</f>
        <v>Headphones</v>
      </c>
      <c r="L420" t="str">
        <f>_xlfn.XLOOKUP(Sales_Data[[#This Row],[Product_ID]],products!A:A,products!C:C,"Not Found")</f>
        <v>Accessories</v>
      </c>
      <c r="M420" t="str">
        <f>_xlfn.XLOOKUP(C420,customers!A:A,customers!B:B,"Not Found")</f>
        <v>Sneha Joshi</v>
      </c>
      <c r="N420" t="str">
        <f>_xlfn.XLOOKUP(C419,customers!A:A,customers!C:C,"Not Found")</f>
        <v>Nashik</v>
      </c>
      <c r="O420" t="str">
        <f>IF(Sales_Data[[#This Row],[Total_Sales]]&gt;=50000,"High","Low")</f>
        <v>Low</v>
      </c>
    </row>
    <row r="421" spans="1:15" x14ac:dyDescent="0.3">
      <c r="A421">
        <v>1420</v>
      </c>
      <c r="B421" s="4">
        <v>46176</v>
      </c>
      <c r="C421" t="s">
        <v>24</v>
      </c>
      <c r="D421" t="s">
        <v>49</v>
      </c>
      <c r="E421">
        <v>8</v>
      </c>
      <c r="F421">
        <v>2500</v>
      </c>
      <c r="G421" t="s">
        <v>80</v>
      </c>
      <c r="H421" t="s">
        <v>88</v>
      </c>
      <c r="I421" t="s">
        <v>81</v>
      </c>
      <c r="J421">
        <v>20000</v>
      </c>
      <c r="K421" t="str">
        <f>_xlfn.XLOOKUP(Sales_Data[[#This Row],[Product_ID]],products!A:A,products!B:B,"Not Found")</f>
        <v>Keyboard</v>
      </c>
      <c r="L421" t="str">
        <f>_xlfn.XLOOKUP(Sales_Data[[#This Row],[Product_ID]],products!A:A,products!C:C,"Not Found")</f>
        <v>Accessories</v>
      </c>
      <c r="M421" t="str">
        <f>_xlfn.XLOOKUP(C421,customers!A:A,customers!B:B,"Not Found")</f>
        <v>Pooja Deshmukh</v>
      </c>
      <c r="N421" t="str">
        <f>_xlfn.XLOOKUP(C420,customers!A:A,customers!C:C,"Not Found")</f>
        <v>Nashik</v>
      </c>
      <c r="O421" t="str">
        <f>IF(Sales_Data[[#This Row],[Total_Sales]]&gt;=50000,"High","Low")</f>
        <v>Low</v>
      </c>
    </row>
    <row r="422" spans="1:15" x14ac:dyDescent="0.3">
      <c r="A422">
        <v>1421</v>
      </c>
      <c r="B422" s="4">
        <v>46115</v>
      </c>
      <c r="C422" t="s">
        <v>3</v>
      </c>
      <c r="D422" t="s">
        <v>64</v>
      </c>
      <c r="E422">
        <v>2</v>
      </c>
      <c r="F422">
        <v>900</v>
      </c>
      <c r="G422" t="s">
        <v>78</v>
      </c>
      <c r="H422" t="s">
        <v>76</v>
      </c>
      <c r="I422" t="s">
        <v>85</v>
      </c>
      <c r="J422">
        <v>1800</v>
      </c>
      <c r="K422" t="str">
        <f>_xlfn.XLOOKUP(Sales_Data[[#This Row],[Product_ID]],products!A:A,products!B:B,"Not Found")</f>
        <v>USB Drive</v>
      </c>
      <c r="L422" t="str">
        <f>_xlfn.XLOOKUP(Sales_Data[[#This Row],[Product_ID]],products!A:A,products!C:C,"Not Found")</f>
        <v>Accessories</v>
      </c>
      <c r="M422" t="str">
        <f>_xlfn.XLOOKUP(C422,customers!A:A,customers!B:B,"Not Found")</f>
        <v>Rahul Sharma</v>
      </c>
      <c r="N422" t="str">
        <f>_xlfn.XLOOKUP(C421,customers!A:A,customers!C:C,"Not Found")</f>
        <v>Aurangabad</v>
      </c>
      <c r="O422" t="str">
        <f>IF(Sales_Data[[#This Row],[Total_Sales]]&gt;=50000,"High","Low")</f>
        <v>Low</v>
      </c>
    </row>
    <row r="423" spans="1:15" x14ac:dyDescent="0.3">
      <c r="A423">
        <v>1422</v>
      </c>
      <c r="B423" s="4">
        <v>46179</v>
      </c>
      <c r="C423" t="s">
        <v>32</v>
      </c>
      <c r="D423" t="s">
        <v>52</v>
      </c>
      <c r="E423">
        <v>1</v>
      </c>
      <c r="F423">
        <v>800</v>
      </c>
      <c r="G423" t="s">
        <v>80</v>
      </c>
      <c r="H423" t="s">
        <v>88</v>
      </c>
      <c r="I423" t="s">
        <v>85</v>
      </c>
      <c r="J423">
        <v>800</v>
      </c>
      <c r="K423" t="str">
        <f>_xlfn.XLOOKUP(Sales_Data[[#This Row],[Product_ID]],products!A:A,products!B:B,"Not Found")</f>
        <v>Mouse</v>
      </c>
      <c r="L423" t="str">
        <f>_xlfn.XLOOKUP(Sales_Data[[#This Row],[Product_ID]],products!A:A,products!C:C,"Not Found")</f>
        <v>Accessories</v>
      </c>
      <c r="M423" t="str">
        <f>_xlfn.XLOOKUP(C423,customers!A:A,customers!B:B,"Not Found")</f>
        <v>Sahil Khan</v>
      </c>
      <c r="N423" t="str">
        <f>_xlfn.XLOOKUP(C422,customers!A:A,customers!C:C,"Not Found")</f>
        <v>Nagpur</v>
      </c>
      <c r="O423" t="str">
        <f>IF(Sales_Data[[#This Row],[Total_Sales]]&gt;=50000,"High","Low")</f>
        <v>Low</v>
      </c>
    </row>
    <row r="424" spans="1:15" x14ac:dyDescent="0.3">
      <c r="A424">
        <v>1423</v>
      </c>
      <c r="B424" s="4">
        <v>46025</v>
      </c>
      <c r="C424" t="s">
        <v>6</v>
      </c>
      <c r="D424" t="s">
        <v>60</v>
      </c>
      <c r="E424">
        <v>2</v>
      </c>
      <c r="F424">
        <v>22000</v>
      </c>
      <c r="G424" t="s">
        <v>82</v>
      </c>
      <c r="H424" t="s">
        <v>76</v>
      </c>
      <c r="I424" t="s">
        <v>87</v>
      </c>
      <c r="J424">
        <v>44000</v>
      </c>
      <c r="K424" t="str">
        <f>_xlfn.XLOOKUP(Sales_Data[[#This Row],[Product_ID]],products!A:A,products!B:B,"Not Found")</f>
        <v>Tablet</v>
      </c>
      <c r="L424" t="str">
        <f>_xlfn.XLOOKUP(Sales_Data[[#This Row],[Product_ID]],products!A:A,products!C:C,"Not Found")</f>
        <v>Electronics</v>
      </c>
      <c r="M424" t="str">
        <f>_xlfn.XLOOKUP(C424,customers!A:A,customers!B:B,"Not Found")</f>
        <v>Priya Patil</v>
      </c>
      <c r="N424" t="str">
        <f>_xlfn.XLOOKUP(C423,customers!A:A,customers!C:C,"Not Found")</f>
        <v>Pune</v>
      </c>
      <c r="O424" t="str">
        <f>IF(Sales_Data[[#This Row],[Total_Sales]]&gt;=50000,"High","Low")</f>
        <v>Low</v>
      </c>
    </row>
    <row r="425" spans="1:15" x14ac:dyDescent="0.3">
      <c r="A425">
        <v>1424</v>
      </c>
      <c r="B425" s="4">
        <v>46123</v>
      </c>
      <c r="C425" t="s">
        <v>18</v>
      </c>
      <c r="D425" t="s">
        <v>62</v>
      </c>
      <c r="E425">
        <v>8</v>
      </c>
      <c r="F425">
        <v>3000</v>
      </c>
      <c r="G425" t="s">
        <v>86</v>
      </c>
      <c r="H425" t="s">
        <v>84</v>
      </c>
      <c r="I425" t="s">
        <v>87</v>
      </c>
      <c r="J425">
        <v>24000</v>
      </c>
      <c r="K425" t="str">
        <f>_xlfn.XLOOKUP(Sales_Data[[#This Row],[Product_ID]],products!A:A,products!B:B,"Not Found")</f>
        <v>Webcam</v>
      </c>
      <c r="L425" t="str">
        <f>_xlfn.XLOOKUP(Sales_Data[[#This Row],[Product_ID]],products!A:A,products!C:C,"Not Found")</f>
        <v>Accessories</v>
      </c>
      <c r="M425" t="str">
        <f>_xlfn.XLOOKUP(C425,customers!A:A,customers!B:B,"Not Found")</f>
        <v>Neha Gupta</v>
      </c>
      <c r="N425" t="str">
        <f>_xlfn.XLOOKUP(C424,customers!A:A,customers!C:C,"Not Found")</f>
        <v>Pune</v>
      </c>
      <c r="O425" t="str">
        <f>IF(Sales_Data[[#This Row],[Total_Sales]]&gt;=50000,"High","Low")</f>
        <v>Low</v>
      </c>
    </row>
    <row r="426" spans="1:15" x14ac:dyDescent="0.3">
      <c r="A426">
        <v>1425</v>
      </c>
      <c r="B426" s="4">
        <v>46146</v>
      </c>
      <c r="C426" t="s">
        <v>3</v>
      </c>
      <c r="D426" t="s">
        <v>58</v>
      </c>
      <c r="E426">
        <v>2</v>
      </c>
      <c r="F426">
        <v>12000</v>
      </c>
      <c r="G426" t="s">
        <v>82</v>
      </c>
      <c r="H426" t="s">
        <v>88</v>
      </c>
      <c r="I426" t="s">
        <v>77</v>
      </c>
      <c r="J426">
        <v>24000</v>
      </c>
      <c r="K426" t="str">
        <f>_xlfn.XLOOKUP(Sales_Data[[#This Row],[Product_ID]],products!A:A,products!B:B,"Not Found")</f>
        <v>Printer</v>
      </c>
      <c r="L426" t="str">
        <f>_xlfn.XLOOKUP(Sales_Data[[#This Row],[Product_ID]],products!A:A,products!C:C,"Not Found")</f>
        <v>Electronics</v>
      </c>
      <c r="M426" t="str">
        <f>_xlfn.XLOOKUP(C426,customers!A:A,customers!B:B,"Not Found")</f>
        <v>Rahul Sharma</v>
      </c>
      <c r="N426" t="str">
        <f>_xlfn.XLOOKUP(C425,customers!A:A,customers!C:C,"Not Found")</f>
        <v>Indore</v>
      </c>
      <c r="O426" t="str">
        <f>IF(Sales_Data[[#This Row],[Total_Sales]]&gt;=50000,"High","Low")</f>
        <v>Low</v>
      </c>
    </row>
    <row r="427" spans="1:15" x14ac:dyDescent="0.3">
      <c r="A427">
        <v>1426</v>
      </c>
      <c r="B427" s="4">
        <v>46059</v>
      </c>
      <c r="C427" t="s">
        <v>38</v>
      </c>
      <c r="D427" t="s">
        <v>49</v>
      </c>
      <c r="E427">
        <v>6</v>
      </c>
      <c r="F427">
        <v>2500</v>
      </c>
      <c r="G427" t="s">
        <v>82</v>
      </c>
      <c r="H427" t="s">
        <v>83</v>
      </c>
      <c r="I427" t="s">
        <v>81</v>
      </c>
      <c r="J427">
        <v>15000</v>
      </c>
      <c r="K427" t="str">
        <f>_xlfn.XLOOKUP(Sales_Data[[#This Row],[Product_ID]],products!A:A,products!B:B,"Not Found")</f>
        <v>Keyboard</v>
      </c>
      <c r="L427" t="str">
        <f>_xlfn.XLOOKUP(Sales_Data[[#This Row],[Product_ID]],products!A:A,products!C:C,"Not Found")</f>
        <v>Accessories</v>
      </c>
      <c r="M427" t="str">
        <f>_xlfn.XLOOKUP(C427,customers!A:A,customers!B:B,"Not Found")</f>
        <v>Komal Pawar</v>
      </c>
      <c r="N427" t="str">
        <f>_xlfn.XLOOKUP(C426,customers!A:A,customers!C:C,"Not Found")</f>
        <v>Nagpur</v>
      </c>
      <c r="O427" t="str">
        <f>IF(Sales_Data[[#This Row],[Total_Sales]]&gt;=50000,"High","Low")</f>
        <v>Low</v>
      </c>
    </row>
    <row r="428" spans="1:15" x14ac:dyDescent="0.3">
      <c r="A428">
        <v>1427</v>
      </c>
      <c r="B428" s="4">
        <v>46146</v>
      </c>
      <c r="C428" t="s">
        <v>27</v>
      </c>
      <c r="D428" t="s">
        <v>54</v>
      </c>
      <c r="E428">
        <v>6</v>
      </c>
      <c r="F428">
        <v>15000</v>
      </c>
      <c r="G428" t="s">
        <v>89</v>
      </c>
      <c r="H428" t="s">
        <v>79</v>
      </c>
      <c r="I428" t="s">
        <v>81</v>
      </c>
      <c r="J428">
        <v>90000</v>
      </c>
      <c r="K428" t="str">
        <f>_xlfn.XLOOKUP(Sales_Data[[#This Row],[Product_ID]],products!A:A,products!B:B,"Not Found")</f>
        <v>Monitor</v>
      </c>
      <c r="L428" t="str">
        <f>_xlfn.XLOOKUP(Sales_Data[[#This Row],[Product_ID]],products!A:A,products!C:C,"Not Found")</f>
        <v>Electronics</v>
      </c>
      <c r="M428" t="str">
        <f>_xlfn.XLOOKUP(C428,customers!A:A,customers!B:B,"Not Found")</f>
        <v>Vikas Yadav</v>
      </c>
      <c r="N428" t="str">
        <f>_xlfn.XLOOKUP(C427,customers!A:A,customers!C:C,"Not Found")</f>
        <v>Indore</v>
      </c>
      <c r="O428" t="str">
        <f>IF(Sales_Data[[#This Row],[Total_Sales]]&gt;=50000,"High","Low")</f>
        <v>High</v>
      </c>
    </row>
    <row r="429" spans="1:15" x14ac:dyDescent="0.3">
      <c r="A429">
        <v>1428</v>
      </c>
      <c r="B429" s="4">
        <v>46040</v>
      </c>
      <c r="C429" t="s">
        <v>18</v>
      </c>
      <c r="D429" t="s">
        <v>62</v>
      </c>
      <c r="E429">
        <v>5</v>
      </c>
      <c r="F429">
        <v>3000</v>
      </c>
      <c r="G429" t="s">
        <v>78</v>
      </c>
      <c r="H429" t="s">
        <v>79</v>
      </c>
      <c r="I429" t="s">
        <v>77</v>
      </c>
      <c r="J429">
        <v>15000</v>
      </c>
      <c r="K429" t="str">
        <f>_xlfn.XLOOKUP(Sales_Data[[#This Row],[Product_ID]],products!A:A,products!B:B,"Not Found")</f>
        <v>Webcam</v>
      </c>
      <c r="L429" t="str">
        <f>_xlfn.XLOOKUP(Sales_Data[[#This Row],[Product_ID]],products!A:A,products!C:C,"Not Found")</f>
        <v>Accessories</v>
      </c>
      <c r="M429" t="str">
        <f>_xlfn.XLOOKUP(C429,customers!A:A,customers!B:B,"Not Found")</f>
        <v>Neha Gupta</v>
      </c>
      <c r="N429" t="str">
        <f>_xlfn.XLOOKUP(C428,customers!A:A,customers!C:C,"Not Found")</f>
        <v>Thane</v>
      </c>
      <c r="O429" t="str">
        <f>IF(Sales_Data[[#This Row],[Total_Sales]]&gt;=50000,"High","Low")</f>
        <v>Low</v>
      </c>
    </row>
    <row r="430" spans="1:15" x14ac:dyDescent="0.3">
      <c r="A430">
        <v>1429</v>
      </c>
      <c r="B430" s="4">
        <v>46050</v>
      </c>
      <c r="C430" t="s">
        <v>32</v>
      </c>
      <c r="D430" t="s">
        <v>58</v>
      </c>
      <c r="E430">
        <v>3</v>
      </c>
      <c r="F430">
        <v>12000</v>
      </c>
      <c r="G430" t="s">
        <v>86</v>
      </c>
      <c r="H430" t="s">
        <v>76</v>
      </c>
      <c r="I430" t="s">
        <v>87</v>
      </c>
      <c r="J430">
        <v>36000</v>
      </c>
      <c r="K430" t="str">
        <f>_xlfn.XLOOKUP(Sales_Data[[#This Row],[Product_ID]],products!A:A,products!B:B,"Not Found")</f>
        <v>Printer</v>
      </c>
      <c r="L430" t="str">
        <f>_xlfn.XLOOKUP(Sales_Data[[#This Row],[Product_ID]],products!A:A,products!C:C,"Not Found")</f>
        <v>Electronics</v>
      </c>
      <c r="M430" t="str">
        <f>_xlfn.XLOOKUP(C430,customers!A:A,customers!B:B,"Not Found")</f>
        <v>Sahil Khan</v>
      </c>
      <c r="N430" t="str">
        <f>_xlfn.XLOOKUP(C429,customers!A:A,customers!C:C,"Not Found")</f>
        <v>Indore</v>
      </c>
      <c r="O430" t="str">
        <f>IF(Sales_Data[[#This Row],[Total_Sales]]&gt;=50000,"High","Low")</f>
        <v>Low</v>
      </c>
    </row>
    <row r="431" spans="1:15" x14ac:dyDescent="0.3">
      <c r="A431">
        <v>1430</v>
      </c>
      <c r="B431" s="4">
        <v>46107</v>
      </c>
      <c r="C431" t="s">
        <v>9</v>
      </c>
      <c r="D431" t="s">
        <v>64</v>
      </c>
      <c r="E431">
        <v>7</v>
      </c>
      <c r="F431">
        <v>900</v>
      </c>
      <c r="G431" t="s">
        <v>89</v>
      </c>
      <c r="H431" t="s">
        <v>76</v>
      </c>
      <c r="I431" t="s">
        <v>81</v>
      </c>
      <c r="J431">
        <v>6300</v>
      </c>
      <c r="K431" t="str">
        <f>_xlfn.XLOOKUP(Sales_Data[[#This Row],[Product_ID]],products!A:A,products!B:B,"Not Found")</f>
        <v>USB Drive</v>
      </c>
      <c r="L431" t="str">
        <f>_xlfn.XLOOKUP(Sales_Data[[#This Row],[Product_ID]],products!A:A,products!C:C,"Not Found")</f>
        <v>Accessories</v>
      </c>
      <c r="M431" t="str">
        <f>_xlfn.XLOOKUP(C431,customers!A:A,customers!B:B,"Not Found")</f>
        <v>Amit Verma</v>
      </c>
      <c r="N431" t="str">
        <f>_xlfn.XLOOKUP(C430,customers!A:A,customers!C:C,"Not Found")</f>
        <v>Pune</v>
      </c>
      <c r="O431" t="str">
        <f>IF(Sales_Data[[#This Row],[Total_Sales]]&gt;=50000,"High","Low")</f>
        <v>Low</v>
      </c>
    </row>
    <row r="432" spans="1:15" x14ac:dyDescent="0.3">
      <c r="A432">
        <v>1431</v>
      </c>
      <c r="B432" s="4">
        <v>46186</v>
      </c>
      <c r="C432" t="s">
        <v>9</v>
      </c>
      <c r="D432" t="s">
        <v>52</v>
      </c>
      <c r="E432">
        <v>7</v>
      </c>
      <c r="F432">
        <v>800</v>
      </c>
      <c r="G432" t="s">
        <v>89</v>
      </c>
      <c r="H432" t="s">
        <v>79</v>
      </c>
      <c r="I432" t="s">
        <v>87</v>
      </c>
      <c r="J432">
        <v>5600</v>
      </c>
      <c r="K432" t="str">
        <f>_xlfn.XLOOKUP(Sales_Data[[#This Row],[Product_ID]],products!A:A,products!B:B,"Not Found")</f>
        <v>Mouse</v>
      </c>
      <c r="L432" t="str">
        <f>_xlfn.XLOOKUP(Sales_Data[[#This Row],[Product_ID]],products!A:A,products!C:C,"Not Found")</f>
        <v>Accessories</v>
      </c>
      <c r="M432" t="str">
        <f>_xlfn.XLOOKUP(C432,customers!A:A,customers!B:B,"Not Found")</f>
        <v>Amit Verma</v>
      </c>
      <c r="N432" t="str">
        <f>_xlfn.XLOOKUP(C431,customers!A:A,customers!C:C,"Not Found")</f>
        <v>Mumbai</v>
      </c>
      <c r="O432" t="str">
        <f>IF(Sales_Data[[#This Row],[Total_Sales]]&gt;=50000,"High","Low")</f>
        <v>Low</v>
      </c>
    </row>
    <row r="433" spans="1:15" x14ac:dyDescent="0.3">
      <c r="A433">
        <v>1432</v>
      </c>
      <c r="B433" s="4">
        <v>46132</v>
      </c>
      <c r="C433" t="s">
        <v>30</v>
      </c>
      <c r="D433" t="s">
        <v>62</v>
      </c>
      <c r="E433">
        <v>7</v>
      </c>
      <c r="F433">
        <v>3000</v>
      </c>
      <c r="G433" t="s">
        <v>78</v>
      </c>
      <c r="H433" t="s">
        <v>76</v>
      </c>
      <c r="I433" t="s">
        <v>87</v>
      </c>
      <c r="J433">
        <v>21000</v>
      </c>
      <c r="K433" t="str">
        <f>_xlfn.XLOOKUP(Sales_Data[[#This Row],[Product_ID]],products!A:A,products!B:B,"Not Found")</f>
        <v>Webcam</v>
      </c>
      <c r="L433" t="str">
        <f>_xlfn.XLOOKUP(Sales_Data[[#This Row],[Product_ID]],products!A:A,products!C:C,"Not Found")</f>
        <v>Accessories</v>
      </c>
      <c r="M433" t="str">
        <f>_xlfn.XLOOKUP(C433,customers!A:A,customers!B:B,"Not Found")</f>
        <v>Anjali Kulkarni</v>
      </c>
      <c r="N433" t="str">
        <f>_xlfn.XLOOKUP(C432,customers!A:A,customers!C:C,"Not Found")</f>
        <v>Mumbai</v>
      </c>
      <c r="O433" t="str">
        <f>IF(Sales_Data[[#This Row],[Total_Sales]]&gt;=50000,"High","Low")</f>
        <v>Low</v>
      </c>
    </row>
    <row r="434" spans="1:15" x14ac:dyDescent="0.3">
      <c r="A434">
        <v>1433</v>
      </c>
      <c r="B434" s="4">
        <v>46203</v>
      </c>
      <c r="C434" t="s">
        <v>36</v>
      </c>
      <c r="D434" t="s">
        <v>56</v>
      </c>
      <c r="E434">
        <v>2</v>
      </c>
      <c r="F434">
        <v>3500</v>
      </c>
      <c r="G434" t="s">
        <v>80</v>
      </c>
      <c r="H434" t="s">
        <v>79</v>
      </c>
      <c r="I434" t="s">
        <v>87</v>
      </c>
      <c r="J434">
        <v>7000</v>
      </c>
      <c r="K434" t="str">
        <f>_xlfn.XLOOKUP(Sales_Data[[#This Row],[Product_ID]],products!A:A,products!B:B,"Not Found")</f>
        <v>Headphones</v>
      </c>
      <c r="L434" t="str">
        <f>_xlfn.XLOOKUP(Sales_Data[[#This Row],[Product_ID]],products!A:A,products!C:C,"Not Found")</f>
        <v>Accessories</v>
      </c>
      <c r="M434" t="str">
        <f>_xlfn.XLOOKUP(C434,customers!A:A,customers!B:B,"Not Found")</f>
        <v>Akash Jain</v>
      </c>
      <c r="N434" t="str">
        <f>_xlfn.XLOOKUP(C433,customers!A:A,customers!C:C,"Not Found")</f>
        <v>Nagpur</v>
      </c>
      <c r="O434" t="str">
        <f>IF(Sales_Data[[#This Row],[Total_Sales]]&gt;=50000,"High","Low")</f>
        <v>Low</v>
      </c>
    </row>
    <row r="435" spans="1:15" x14ac:dyDescent="0.3">
      <c r="A435">
        <v>1434</v>
      </c>
      <c r="B435" s="4">
        <v>46073</v>
      </c>
      <c r="C435" t="s">
        <v>18</v>
      </c>
      <c r="D435" t="s">
        <v>58</v>
      </c>
      <c r="E435">
        <v>8</v>
      </c>
      <c r="F435">
        <v>12000</v>
      </c>
      <c r="G435" t="s">
        <v>78</v>
      </c>
      <c r="H435" t="s">
        <v>83</v>
      </c>
      <c r="I435" t="s">
        <v>81</v>
      </c>
      <c r="J435">
        <v>96000</v>
      </c>
      <c r="K435" t="str">
        <f>_xlfn.XLOOKUP(Sales_Data[[#This Row],[Product_ID]],products!A:A,products!B:B,"Not Found")</f>
        <v>Printer</v>
      </c>
      <c r="L435" t="str">
        <f>_xlfn.XLOOKUP(Sales_Data[[#This Row],[Product_ID]],products!A:A,products!C:C,"Not Found")</f>
        <v>Electronics</v>
      </c>
      <c r="M435" t="str">
        <f>_xlfn.XLOOKUP(C435,customers!A:A,customers!B:B,"Not Found")</f>
        <v>Neha Gupta</v>
      </c>
      <c r="N435" t="str">
        <f>_xlfn.XLOOKUP(C434,customers!A:A,customers!C:C,"Not Found")</f>
        <v>Nashik</v>
      </c>
      <c r="O435" t="str">
        <f>IF(Sales_Data[[#This Row],[Total_Sales]]&gt;=50000,"High","Low")</f>
        <v>High</v>
      </c>
    </row>
    <row r="436" spans="1:15" x14ac:dyDescent="0.3">
      <c r="A436">
        <v>1435</v>
      </c>
      <c r="B436" s="4">
        <v>46103</v>
      </c>
      <c r="C436" t="s">
        <v>32</v>
      </c>
      <c r="D436" t="s">
        <v>64</v>
      </c>
      <c r="E436">
        <v>7</v>
      </c>
      <c r="F436">
        <v>900</v>
      </c>
      <c r="G436" t="s">
        <v>80</v>
      </c>
      <c r="H436" t="s">
        <v>88</v>
      </c>
      <c r="I436" t="s">
        <v>77</v>
      </c>
      <c r="J436">
        <v>6300</v>
      </c>
      <c r="K436" t="str">
        <f>_xlfn.XLOOKUP(Sales_Data[[#This Row],[Product_ID]],products!A:A,products!B:B,"Not Found")</f>
        <v>USB Drive</v>
      </c>
      <c r="L436" t="str">
        <f>_xlfn.XLOOKUP(Sales_Data[[#This Row],[Product_ID]],products!A:A,products!C:C,"Not Found")</f>
        <v>Accessories</v>
      </c>
      <c r="M436" t="str">
        <f>_xlfn.XLOOKUP(C436,customers!A:A,customers!B:B,"Not Found")</f>
        <v>Sahil Khan</v>
      </c>
      <c r="N436" t="str">
        <f>_xlfn.XLOOKUP(C435,customers!A:A,customers!C:C,"Not Found")</f>
        <v>Indore</v>
      </c>
      <c r="O436" t="str">
        <f>IF(Sales_Data[[#This Row],[Total_Sales]]&gt;=50000,"High","Low")</f>
        <v>Low</v>
      </c>
    </row>
    <row r="437" spans="1:15" x14ac:dyDescent="0.3">
      <c r="A437">
        <v>1436</v>
      </c>
      <c r="B437" s="4">
        <v>46140</v>
      </c>
      <c r="C437" t="s">
        <v>18</v>
      </c>
      <c r="D437" t="s">
        <v>58</v>
      </c>
      <c r="E437">
        <v>3</v>
      </c>
      <c r="F437">
        <v>12000</v>
      </c>
      <c r="G437" t="s">
        <v>86</v>
      </c>
      <c r="H437" t="s">
        <v>83</v>
      </c>
      <c r="I437" t="s">
        <v>77</v>
      </c>
      <c r="J437">
        <v>36000</v>
      </c>
      <c r="K437" t="str">
        <f>_xlfn.XLOOKUP(Sales_Data[[#This Row],[Product_ID]],products!A:A,products!B:B,"Not Found")</f>
        <v>Printer</v>
      </c>
      <c r="L437" t="str">
        <f>_xlfn.XLOOKUP(Sales_Data[[#This Row],[Product_ID]],products!A:A,products!C:C,"Not Found")</f>
        <v>Electronics</v>
      </c>
      <c r="M437" t="str">
        <f>_xlfn.XLOOKUP(C437,customers!A:A,customers!B:B,"Not Found")</f>
        <v>Neha Gupta</v>
      </c>
      <c r="N437" t="str">
        <f>_xlfn.XLOOKUP(C436,customers!A:A,customers!C:C,"Not Found")</f>
        <v>Pune</v>
      </c>
      <c r="O437" t="str">
        <f>IF(Sales_Data[[#This Row],[Total_Sales]]&gt;=50000,"High","Low")</f>
        <v>Low</v>
      </c>
    </row>
    <row r="438" spans="1:15" x14ac:dyDescent="0.3">
      <c r="A438">
        <v>1437</v>
      </c>
      <c r="B438" s="4">
        <v>46053</v>
      </c>
      <c r="C438" t="s">
        <v>18</v>
      </c>
      <c r="D438" t="s">
        <v>52</v>
      </c>
      <c r="E438">
        <v>4</v>
      </c>
      <c r="F438">
        <v>800</v>
      </c>
      <c r="G438" t="s">
        <v>82</v>
      </c>
      <c r="H438" t="s">
        <v>79</v>
      </c>
      <c r="I438" t="s">
        <v>87</v>
      </c>
      <c r="J438">
        <v>3200</v>
      </c>
      <c r="K438" t="str">
        <f>_xlfn.XLOOKUP(Sales_Data[[#This Row],[Product_ID]],products!A:A,products!B:B,"Not Found")</f>
        <v>Mouse</v>
      </c>
      <c r="L438" t="str">
        <f>_xlfn.XLOOKUP(Sales_Data[[#This Row],[Product_ID]],products!A:A,products!C:C,"Not Found")</f>
        <v>Accessories</v>
      </c>
      <c r="M438" t="str">
        <f>_xlfn.XLOOKUP(C438,customers!A:A,customers!B:B,"Not Found")</f>
        <v>Neha Gupta</v>
      </c>
      <c r="N438" t="str">
        <f>_xlfn.XLOOKUP(C437,customers!A:A,customers!C:C,"Not Found")</f>
        <v>Indore</v>
      </c>
      <c r="O438" t="str">
        <f>IF(Sales_Data[[#This Row],[Total_Sales]]&gt;=50000,"High","Low")</f>
        <v>Low</v>
      </c>
    </row>
    <row r="439" spans="1:15" x14ac:dyDescent="0.3">
      <c r="A439">
        <v>1438</v>
      </c>
      <c r="B439" s="4">
        <v>46059</v>
      </c>
      <c r="C439" t="s">
        <v>34</v>
      </c>
      <c r="D439" t="s">
        <v>58</v>
      </c>
      <c r="E439">
        <v>7</v>
      </c>
      <c r="F439">
        <v>12000</v>
      </c>
      <c r="G439" t="s">
        <v>89</v>
      </c>
      <c r="H439" t="s">
        <v>84</v>
      </c>
      <c r="I439" t="s">
        <v>87</v>
      </c>
      <c r="J439">
        <v>84000</v>
      </c>
      <c r="K439" t="str">
        <f>_xlfn.XLOOKUP(Sales_Data[[#This Row],[Product_ID]],products!A:A,products!B:B,"Not Found")</f>
        <v>Printer</v>
      </c>
      <c r="L439" t="str">
        <f>_xlfn.XLOOKUP(Sales_Data[[#This Row],[Product_ID]],products!A:A,products!C:C,"Not Found")</f>
        <v>Electronics</v>
      </c>
      <c r="M439" t="str">
        <f>_xlfn.XLOOKUP(C439,customers!A:A,customers!B:B,"Not Found")</f>
        <v>Riya Shah</v>
      </c>
      <c r="N439" t="str">
        <f>_xlfn.XLOOKUP(C438,customers!A:A,customers!C:C,"Not Found")</f>
        <v>Indore</v>
      </c>
      <c r="O439" t="str">
        <f>IF(Sales_Data[[#This Row],[Total_Sales]]&gt;=50000,"High","Low")</f>
        <v>High</v>
      </c>
    </row>
    <row r="440" spans="1:15" x14ac:dyDescent="0.3">
      <c r="A440">
        <v>1439</v>
      </c>
      <c r="B440" s="4">
        <v>46131</v>
      </c>
      <c r="C440" t="s">
        <v>21</v>
      </c>
      <c r="D440" t="s">
        <v>66</v>
      </c>
      <c r="E440">
        <v>3</v>
      </c>
      <c r="F440">
        <v>30000</v>
      </c>
      <c r="G440" t="s">
        <v>89</v>
      </c>
      <c r="H440" t="s">
        <v>84</v>
      </c>
      <c r="I440" t="s">
        <v>87</v>
      </c>
      <c r="J440">
        <v>90000</v>
      </c>
      <c r="K440" t="str">
        <f>_xlfn.XLOOKUP(Sales_Data[[#This Row],[Product_ID]],products!A:A,products!B:B,"Not Found")</f>
        <v>Smartphone</v>
      </c>
      <c r="L440" t="str">
        <f>_xlfn.XLOOKUP(Sales_Data[[#This Row],[Product_ID]],products!A:A,products!C:C,"Not Found")</f>
        <v>Electronics</v>
      </c>
      <c r="M440" t="str">
        <f>_xlfn.XLOOKUP(C440,customers!A:A,customers!B:B,"Not Found")</f>
        <v>Karan Mehta</v>
      </c>
      <c r="N440" t="str">
        <f>_xlfn.XLOOKUP(C439,customers!A:A,customers!C:C,"Not Found")</f>
        <v>Mumbai</v>
      </c>
      <c r="O440" t="str">
        <f>IF(Sales_Data[[#This Row],[Total_Sales]]&gt;=50000,"High","Low")</f>
        <v>High</v>
      </c>
    </row>
    <row r="441" spans="1:15" x14ac:dyDescent="0.3">
      <c r="A441">
        <v>1440</v>
      </c>
      <c r="B441" s="4">
        <v>46148</v>
      </c>
      <c r="C441" t="s">
        <v>9</v>
      </c>
      <c r="D441" t="s">
        <v>64</v>
      </c>
      <c r="E441">
        <v>5</v>
      </c>
      <c r="F441">
        <v>900</v>
      </c>
      <c r="G441" t="s">
        <v>75</v>
      </c>
      <c r="H441" t="s">
        <v>76</v>
      </c>
      <c r="I441" t="s">
        <v>85</v>
      </c>
      <c r="J441">
        <v>4500</v>
      </c>
      <c r="K441" t="str">
        <f>_xlfn.XLOOKUP(Sales_Data[[#This Row],[Product_ID]],products!A:A,products!B:B,"Not Found")</f>
        <v>USB Drive</v>
      </c>
      <c r="L441" t="str">
        <f>_xlfn.XLOOKUP(Sales_Data[[#This Row],[Product_ID]],products!A:A,products!C:C,"Not Found")</f>
        <v>Accessories</v>
      </c>
      <c r="M441" t="str">
        <f>_xlfn.XLOOKUP(C441,customers!A:A,customers!B:B,"Not Found")</f>
        <v>Amit Verma</v>
      </c>
      <c r="N441" t="str">
        <f>_xlfn.XLOOKUP(C440,customers!A:A,customers!C:C,"Not Found")</f>
        <v>Bhopal</v>
      </c>
      <c r="O441" t="str">
        <f>IF(Sales_Data[[#This Row],[Total_Sales]]&gt;=50000,"High","Low")</f>
        <v>Low</v>
      </c>
    </row>
    <row r="442" spans="1:15" x14ac:dyDescent="0.3">
      <c r="A442">
        <v>1441</v>
      </c>
      <c r="B442" s="4">
        <v>46036</v>
      </c>
      <c r="C442" t="s">
        <v>30</v>
      </c>
      <c r="D442" t="s">
        <v>62</v>
      </c>
      <c r="E442">
        <v>6</v>
      </c>
      <c r="F442">
        <v>3000</v>
      </c>
      <c r="G442" t="s">
        <v>78</v>
      </c>
      <c r="H442" t="s">
        <v>88</v>
      </c>
      <c r="I442" t="s">
        <v>87</v>
      </c>
      <c r="J442">
        <v>18000</v>
      </c>
      <c r="K442" t="str">
        <f>_xlfn.XLOOKUP(Sales_Data[[#This Row],[Product_ID]],products!A:A,products!B:B,"Not Found")</f>
        <v>Webcam</v>
      </c>
      <c r="L442" t="str">
        <f>_xlfn.XLOOKUP(Sales_Data[[#This Row],[Product_ID]],products!A:A,products!C:C,"Not Found")</f>
        <v>Accessories</v>
      </c>
      <c r="M442" t="str">
        <f>_xlfn.XLOOKUP(C442,customers!A:A,customers!B:B,"Not Found")</f>
        <v>Anjali Kulkarni</v>
      </c>
      <c r="N442" t="str">
        <f>_xlfn.XLOOKUP(C441,customers!A:A,customers!C:C,"Not Found")</f>
        <v>Mumbai</v>
      </c>
      <c r="O442" t="str">
        <f>IF(Sales_Data[[#This Row],[Total_Sales]]&gt;=50000,"High","Low")</f>
        <v>Low</v>
      </c>
    </row>
    <row r="443" spans="1:15" x14ac:dyDescent="0.3">
      <c r="A443">
        <v>1442</v>
      </c>
      <c r="B443" s="4">
        <v>46121</v>
      </c>
      <c r="C443" t="s">
        <v>38</v>
      </c>
      <c r="D443" t="s">
        <v>54</v>
      </c>
      <c r="E443">
        <v>8</v>
      </c>
      <c r="F443">
        <v>15000</v>
      </c>
      <c r="G443" t="s">
        <v>89</v>
      </c>
      <c r="H443" t="s">
        <v>88</v>
      </c>
      <c r="I443" t="s">
        <v>81</v>
      </c>
      <c r="J443">
        <v>120000</v>
      </c>
      <c r="K443" t="str">
        <f>_xlfn.XLOOKUP(Sales_Data[[#This Row],[Product_ID]],products!A:A,products!B:B,"Not Found")</f>
        <v>Monitor</v>
      </c>
      <c r="L443" t="str">
        <f>_xlfn.XLOOKUP(Sales_Data[[#This Row],[Product_ID]],products!A:A,products!C:C,"Not Found")</f>
        <v>Electronics</v>
      </c>
      <c r="M443" t="str">
        <f>_xlfn.XLOOKUP(C443,customers!A:A,customers!B:B,"Not Found")</f>
        <v>Komal Pawar</v>
      </c>
      <c r="N443" t="str">
        <f>_xlfn.XLOOKUP(C442,customers!A:A,customers!C:C,"Not Found")</f>
        <v>Nagpur</v>
      </c>
      <c r="O443" t="str">
        <f>IF(Sales_Data[[#This Row],[Total_Sales]]&gt;=50000,"High","Low")</f>
        <v>High</v>
      </c>
    </row>
    <row r="444" spans="1:15" x14ac:dyDescent="0.3">
      <c r="A444">
        <v>1443</v>
      </c>
      <c r="B444" s="4">
        <v>46065</v>
      </c>
      <c r="C444" t="s">
        <v>24</v>
      </c>
      <c r="D444" t="s">
        <v>62</v>
      </c>
      <c r="E444">
        <v>2</v>
      </c>
      <c r="F444">
        <v>3000</v>
      </c>
      <c r="G444" t="s">
        <v>80</v>
      </c>
      <c r="H444" t="s">
        <v>79</v>
      </c>
      <c r="I444" t="s">
        <v>87</v>
      </c>
      <c r="J444">
        <v>6000</v>
      </c>
      <c r="K444" t="str">
        <f>_xlfn.XLOOKUP(Sales_Data[[#This Row],[Product_ID]],products!A:A,products!B:B,"Not Found")</f>
        <v>Webcam</v>
      </c>
      <c r="L444" t="str">
        <f>_xlfn.XLOOKUP(Sales_Data[[#This Row],[Product_ID]],products!A:A,products!C:C,"Not Found")</f>
        <v>Accessories</v>
      </c>
      <c r="M444" t="str">
        <f>_xlfn.XLOOKUP(C444,customers!A:A,customers!B:B,"Not Found")</f>
        <v>Pooja Deshmukh</v>
      </c>
      <c r="N444" t="str">
        <f>_xlfn.XLOOKUP(C443,customers!A:A,customers!C:C,"Not Found")</f>
        <v>Indore</v>
      </c>
      <c r="O444" t="str">
        <f>IF(Sales_Data[[#This Row],[Total_Sales]]&gt;=50000,"High","Low")</f>
        <v>Low</v>
      </c>
    </row>
    <row r="445" spans="1:15" x14ac:dyDescent="0.3">
      <c r="A445">
        <v>1444</v>
      </c>
      <c r="B445" s="4">
        <v>46093</v>
      </c>
      <c r="C445" t="s">
        <v>3</v>
      </c>
      <c r="D445" t="s">
        <v>56</v>
      </c>
      <c r="E445">
        <v>4</v>
      </c>
      <c r="F445">
        <v>3500</v>
      </c>
      <c r="G445" t="s">
        <v>80</v>
      </c>
      <c r="H445" t="s">
        <v>83</v>
      </c>
      <c r="I445" t="s">
        <v>87</v>
      </c>
      <c r="J445">
        <v>14000</v>
      </c>
      <c r="K445" t="str">
        <f>_xlfn.XLOOKUP(Sales_Data[[#This Row],[Product_ID]],products!A:A,products!B:B,"Not Found")</f>
        <v>Headphones</v>
      </c>
      <c r="L445" t="str">
        <f>_xlfn.XLOOKUP(Sales_Data[[#This Row],[Product_ID]],products!A:A,products!C:C,"Not Found")</f>
        <v>Accessories</v>
      </c>
      <c r="M445" t="str">
        <f>_xlfn.XLOOKUP(C445,customers!A:A,customers!B:B,"Not Found")</f>
        <v>Rahul Sharma</v>
      </c>
      <c r="N445" t="str">
        <f>_xlfn.XLOOKUP(C444,customers!A:A,customers!C:C,"Not Found")</f>
        <v>Aurangabad</v>
      </c>
      <c r="O445" t="str">
        <f>IF(Sales_Data[[#This Row],[Total_Sales]]&gt;=50000,"High","Low")</f>
        <v>Low</v>
      </c>
    </row>
    <row r="446" spans="1:15" x14ac:dyDescent="0.3">
      <c r="A446">
        <v>1445</v>
      </c>
      <c r="B446" s="4">
        <v>46149</v>
      </c>
      <c r="C446" t="s">
        <v>30</v>
      </c>
      <c r="D446" t="s">
        <v>62</v>
      </c>
      <c r="E446">
        <v>2</v>
      </c>
      <c r="F446">
        <v>3000</v>
      </c>
      <c r="G446" t="s">
        <v>80</v>
      </c>
      <c r="H446" t="s">
        <v>79</v>
      </c>
      <c r="I446" t="s">
        <v>85</v>
      </c>
      <c r="J446">
        <v>6000</v>
      </c>
      <c r="K446" t="str">
        <f>_xlfn.XLOOKUP(Sales_Data[[#This Row],[Product_ID]],products!A:A,products!B:B,"Not Found")</f>
        <v>Webcam</v>
      </c>
      <c r="L446" t="str">
        <f>_xlfn.XLOOKUP(Sales_Data[[#This Row],[Product_ID]],products!A:A,products!C:C,"Not Found")</f>
        <v>Accessories</v>
      </c>
      <c r="M446" t="str">
        <f>_xlfn.XLOOKUP(C446,customers!A:A,customers!B:B,"Not Found")</f>
        <v>Anjali Kulkarni</v>
      </c>
      <c r="N446" t="str">
        <f>_xlfn.XLOOKUP(C445,customers!A:A,customers!C:C,"Not Found")</f>
        <v>Nagpur</v>
      </c>
      <c r="O446" t="str">
        <f>IF(Sales_Data[[#This Row],[Total_Sales]]&gt;=50000,"High","Low")</f>
        <v>Low</v>
      </c>
    </row>
    <row r="447" spans="1:15" x14ac:dyDescent="0.3">
      <c r="A447">
        <v>1446</v>
      </c>
      <c r="B447" s="4">
        <v>46116</v>
      </c>
      <c r="C447" t="s">
        <v>38</v>
      </c>
      <c r="D447" t="s">
        <v>64</v>
      </c>
      <c r="E447">
        <v>1</v>
      </c>
      <c r="F447">
        <v>900</v>
      </c>
      <c r="G447" t="s">
        <v>86</v>
      </c>
      <c r="H447" t="s">
        <v>88</v>
      </c>
      <c r="I447" t="s">
        <v>87</v>
      </c>
      <c r="J447">
        <v>900</v>
      </c>
      <c r="K447" t="str">
        <f>_xlfn.XLOOKUP(Sales_Data[[#This Row],[Product_ID]],products!A:A,products!B:B,"Not Found")</f>
        <v>USB Drive</v>
      </c>
      <c r="L447" t="str">
        <f>_xlfn.XLOOKUP(Sales_Data[[#This Row],[Product_ID]],products!A:A,products!C:C,"Not Found")</f>
        <v>Accessories</v>
      </c>
      <c r="M447" t="str">
        <f>_xlfn.XLOOKUP(C447,customers!A:A,customers!B:B,"Not Found")</f>
        <v>Komal Pawar</v>
      </c>
      <c r="N447" t="str">
        <f>_xlfn.XLOOKUP(C446,customers!A:A,customers!C:C,"Not Found")</f>
        <v>Nagpur</v>
      </c>
      <c r="O447" t="str">
        <f>IF(Sales_Data[[#This Row],[Total_Sales]]&gt;=50000,"High","Low")</f>
        <v>Low</v>
      </c>
    </row>
    <row r="448" spans="1:15" x14ac:dyDescent="0.3">
      <c r="A448">
        <v>1447</v>
      </c>
      <c r="B448" s="4">
        <v>46190</v>
      </c>
      <c r="C448" t="s">
        <v>6</v>
      </c>
      <c r="D448" t="s">
        <v>60</v>
      </c>
      <c r="E448">
        <v>4</v>
      </c>
      <c r="F448">
        <v>22000</v>
      </c>
      <c r="G448" t="s">
        <v>82</v>
      </c>
      <c r="H448" t="s">
        <v>79</v>
      </c>
      <c r="I448" t="s">
        <v>81</v>
      </c>
      <c r="J448">
        <v>88000</v>
      </c>
      <c r="K448" t="str">
        <f>_xlfn.XLOOKUP(Sales_Data[[#This Row],[Product_ID]],products!A:A,products!B:B,"Not Found")</f>
        <v>Tablet</v>
      </c>
      <c r="L448" t="str">
        <f>_xlfn.XLOOKUP(Sales_Data[[#This Row],[Product_ID]],products!A:A,products!C:C,"Not Found")</f>
        <v>Electronics</v>
      </c>
      <c r="M448" t="str">
        <f>_xlfn.XLOOKUP(C448,customers!A:A,customers!B:B,"Not Found")</f>
        <v>Priya Patil</v>
      </c>
      <c r="N448" t="str">
        <f>_xlfn.XLOOKUP(C447,customers!A:A,customers!C:C,"Not Found")</f>
        <v>Indore</v>
      </c>
      <c r="O448" t="str">
        <f>IF(Sales_Data[[#This Row],[Total_Sales]]&gt;=50000,"High","Low")</f>
        <v>High</v>
      </c>
    </row>
    <row r="449" spans="1:15" x14ac:dyDescent="0.3">
      <c r="A449">
        <v>1448</v>
      </c>
      <c r="B449" s="4">
        <v>46045</v>
      </c>
      <c r="C449" t="s">
        <v>18</v>
      </c>
      <c r="D449" t="s">
        <v>56</v>
      </c>
      <c r="E449">
        <v>8</v>
      </c>
      <c r="F449">
        <v>3500</v>
      </c>
      <c r="G449" t="s">
        <v>78</v>
      </c>
      <c r="H449" t="s">
        <v>76</v>
      </c>
      <c r="I449" t="s">
        <v>87</v>
      </c>
      <c r="J449">
        <v>28000</v>
      </c>
      <c r="K449" t="str">
        <f>_xlfn.XLOOKUP(Sales_Data[[#This Row],[Product_ID]],products!A:A,products!B:B,"Not Found")</f>
        <v>Headphones</v>
      </c>
      <c r="L449" t="str">
        <f>_xlfn.XLOOKUP(Sales_Data[[#This Row],[Product_ID]],products!A:A,products!C:C,"Not Found")</f>
        <v>Accessories</v>
      </c>
      <c r="M449" t="str">
        <f>_xlfn.XLOOKUP(C449,customers!A:A,customers!B:B,"Not Found")</f>
        <v>Neha Gupta</v>
      </c>
      <c r="N449" t="str">
        <f>_xlfn.XLOOKUP(C448,customers!A:A,customers!C:C,"Not Found")</f>
        <v>Pune</v>
      </c>
      <c r="O449" t="str">
        <f>IF(Sales_Data[[#This Row],[Total_Sales]]&gt;=50000,"High","Low")</f>
        <v>Low</v>
      </c>
    </row>
    <row r="450" spans="1:15" x14ac:dyDescent="0.3">
      <c r="A450">
        <v>1449</v>
      </c>
      <c r="B450" s="4">
        <v>46112</v>
      </c>
      <c r="C450" t="s">
        <v>34</v>
      </c>
      <c r="D450" t="s">
        <v>66</v>
      </c>
      <c r="E450">
        <v>7</v>
      </c>
      <c r="F450">
        <v>30000</v>
      </c>
      <c r="G450" t="s">
        <v>75</v>
      </c>
      <c r="H450" t="s">
        <v>84</v>
      </c>
      <c r="I450" t="s">
        <v>87</v>
      </c>
      <c r="J450">
        <v>210000</v>
      </c>
      <c r="K450" t="str">
        <f>_xlfn.XLOOKUP(Sales_Data[[#This Row],[Product_ID]],products!A:A,products!B:B,"Not Found")</f>
        <v>Smartphone</v>
      </c>
      <c r="L450" t="str">
        <f>_xlfn.XLOOKUP(Sales_Data[[#This Row],[Product_ID]],products!A:A,products!C:C,"Not Found")</f>
        <v>Electronics</v>
      </c>
      <c r="M450" t="str">
        <f>_xlfn.XLOOKUP(C450,customers!A:A,customers!B:B,"Not Found")</f>
        <v>Riya Shah</v>
      </c>
      <c r="N450" t="str">
        <f>_xlfn.XLOOKUP(C449,customers!A:A,customers!C:C,"Not Found")</f>
        <v>Indore</v>
      </c>
      <c r="O450" t="str">
        <f>IF(Sales_Data[[#This Row],[Total_Sales]]&gt;=50000,"High","Low")</f>
        <v>High</v>
      </c>
    </row>
    <row r="451" spans="1:15" x14ac:dyDescent="0.3">
      <c r="A451">
        <v>1450</v>
      </c>
      <c r="B451" s="4">
        <v>46075</v>
      </c>
      <c r="C451" t="s">
        <v>38</v>
      </c>
      <c r="D451" t="s">
        <v>54</v>
      </c>
      <c r="E451">
        <v>1</v>
      </c>
      <c r="F451">
        <v>15000</v>
      </c>
      <c r="G451" t="s">
        <v>80</v>
      </c>
      <c r="H451" t="s">
        <v>83</v>
      </c>
      <c r="I451" t="s">
        <v>85</v>
      </c>
      <c r="J451">
        <v>15000</v>
      </c>
      <c r="K451" t="str">
        <f>_xlfn.XLOOKUP(Sales_Data[[#This Row],[Product_ID]],products!A:A,products!B:B,"Not Found")</f>
        <v>Monitor</v>
      </c>
      <c r="L451" t="str">
        <f>_xlfn.XLOOKUP(Sales_Data[[#This Row],[Product_ID]],products!A:A,products!C:C,"Not Found")</f>
        <v>Electronics</v>
      </c>
      <c r="M451" t="str">
        <f>_xlfn.XLOOKUP(C451,customers!A:A,customers!B:B,"Not Found")</f>
        <v>Komal Pawar</v>
      </c>
      <c r="N451" t="str">
        <f>_xlfn.XLOOKUP(C450,customers!A:A,customers!C:C,"Not Found")</f>
        <v>Mumbai</v>
      </c>
      <c r="O451" t="str">
        <f>IF(Sales_Data[[#This Row],[Total_Sales]]&gt;=50000,"High","Low")</f>
        <v>Low</v>
      </c>
    </row>
    <row r="452" spans="1:15" x14ac:dyDescent="0.3">
      <c r="A452">
        <v>1451</v>
      </c>
      <c r="B452" s="4">
        <v>46066</v>
      </c>
      <c r="C452" t="s">
        <v>27</v>
      </c>
      <c r="D452" t="s">
        <v>66</v>
      </c>
      <c r="E452">
        <v>6</v>
      </c>
      <c r="F452">
        <v>30000</v>
      </c>
      <c r="G452" t="s">
        <v>86</v>
      </c>
      <c r="H452" t="s">
        <v>83</v>
      </c>
      <c r="I452" t="s">
        <v>85</v>
      </c>
      <c r="J452">
        <v>180000</v>
      </c>
      <c r="K452" t="str">
        <f>_xlfn.XLOOKUP(Sales_Data[[#This Row],[Product_ID]],products!A:A,products!B:B,"Not Found")</f>
        <v>Smartphone</v>
      </c>
      <c r="L452" t="str">
        <f>_xlfn.XLOOKUP(Sales_Data[[#This Row],[Product_ID]],products!A:A,products!C:C,"Not Found")</f>
        <v>Electronics</v>
      </c>
      <c r="M452" t="str">
        <f>_xlfn.XLOOKUP(C452,customers!A:A,customers!B:B,"Not Found")</f>
        <v>Vikas Yadav</v>
      </c>
      <c r="N452" t="str">
        <f>_xlfn.XLOOKUP(C451,customers!A:A,customers!C:C,"Not Found")</f>
        <v>Indore</v>
      </c>
      <c r="O452" t="str">
        <f>IF(Sales_Data[[#This Row],[Total_Sales]]&gt;=50000,"High","Low")</f>
        <v>High</v>
      </c>
    </row>
    <row r="453" spans="1:15" x14ac:dyDescent="0.3">
      <c r="A453">
        <v>1452</v>
      </c>
      <c r="B453" s="4">
        <v>46154</v>
      </c>
      <c r="C453" t="s">
        <v>15</v>
      </c>
      <c r="D453" t="s">
        <v>66</v>
      </c>
      <c r="E453">
        <v>2</v>
      </c>
      <c r="F453">
        <v>30000</v>
      </c>
      <c r="G453" t="s">
        <v>75</v>
      </c>
      <c r="H453" t="s">
        <v>88</v>
      </c>
      <c r="I453" t="s">
        <v>77</v>
      </c>
      <c r="J453">
        <v>60000</v>
      </c>
      <c r="K453" t="str">
        <f>_xlfn.XLOOKUP(Sales_Data[[#This Row],[Product_ID]],products!A:A,products!B:B,"Not Found")</f>
        <v>Smartphone</v>
      </c>
      <c r="L453" t="str">
        <f>_xlfn.XLOOKUP(Sales_Data[[#This Row],[Product_ID]],products!A:A,products!C:C,"Not Found")</f>
        <v>Electronics</v>
      </c>
      <c r="M453" t="str">
        <f>_xlfn.XLOOKUP(C453,customers!A:A,customers!B:B,"Not Found")</f>
        <v>Rohit Singh</v>
      </c>
      <c r="N453" t="str">
        <f>_xlfn.XLOOKUP(C452,customers!A:A,customers!C:C,"Not Found")</f>
        <v>Thane</v>
      </c>
      <c r="O453" t="str">
        <f>IF(Sales_Data[[#This Row],[Total_Sales]]&gt;=50000,"High","Low")</f>
        <v>High</v>
      </c>
    </row>
    <row r="454" spans="1:15" x14ac:dyDescent="0.3">
      <c r="A454">
        <v>1453</v>
      </c>
      <c r="B454" s="4">
        <v>46190</v>
      </c>
      <c r="C454" t="s">
        <v>38</v>
      </c>
      <c r="D454" t="s">
        <v>56</v>
      </c>
      <c r="E454">
        <v>3</v>
      </c>
      <c r="F454">
        <v>3500</v>
      </c>
      <c r="G454" t="s">
        <v>86</v>
      </c>
      <c r="H454" t="s">
        <v>76</v>
      </c>
      <c r="I454" t="s">
        <v>87</v>
      </c>
      <c r="J454">
        <v>10500</v>
      </c>
      <c r="K454" t="str">
        <f>_xlfn.XLOOKUP(Sales_Data[[#This Row],[Product_ID]],products!A:A,products!B:B,"Not Found")</f>
        <v>Headphones</v>
      </c>
      <c r="L454" t="str">
        <f>_xlfn.XLOOKUP(Sales_Data[[#This Row],[Product_ID]],products!A:A,products!C:C,"Not Found")</f>
        <v>Accessories</v>
      </c>
      <c r="M454" t="str">
        <f>_xlfn.XLOOKUP(C454,customers!A:A,customers!B:B,"Not Found")</f>
        <v>Komal Pawar</v>
      </c>
      <c r="N454" t="str">
        <f>_xlfn.XLOOKUP(C453,customers!A:A,customers!C:C,"Not Found")</f>
        <v>Delhi</v>
      </c>
      <c r="O454" t="str">
        <f>IF(Sales_Data[[#This Row],[Total_Sales]]&gt;=50000,"High","Low")</f>
        <v>Low</v>
      </c>
    </row>
    <row r="455" spans="1:15" x14ac:dyDescent="0.3">
      <c r="A455">
        <v>1454</v>
      </c>
      <c r="B455" s="4">
        <v>46105</v>
      </c>
      <c r="C455" t="s">
        <v>34</v>
      </c>
      <c r="D455" t="s">
        <v>52</v>
      </c>
      <c r="E455">
        <v>4</v>
      </c>
      <c r="F455">
        <v>800</v>
      </c>
      <c r="G455" t="s">
        <v>86</v>
      </c>
      <c r="H455" t="s">
        <v>88</v>
      </c>
      <c r="I455" t="s">
        <v>81</v>
      </c>
      <c r="J455">
        <v>3200</v>
      </c>
      <c r="K455" t="str">
        <f>_xlfn.XLOOKUP(Sales_Data[[#This Row],[Product_ID]],products!A:A,products!B:B,"Not Found")</f>
        <v>Mouse</v>
      </c>
      <c r="L455" t="str">
        <f>_xlfn.XLOOKUP(Sales_Data[[#This Row],[Product_ID]],products!A:A,products!C:C,"Not Found")</f>
        <v>Accessories</v>
      </c>
      <c r="M455" t="str">
        <f>_xlfn.XLOOKUP(C455,customers!A:A,customers!B:B,"Not Found")</f>
        <v>Riya Shah</v>
      </c>
      <c r="N455" t="str">
        <f>_xlfn.XLOOKUP(C454,customers!A:A,customers!C:C,"Not Found")</f>
        <v>Indore</v>
      </c>
      <c r="O455" t="str">
        <f>IF(Sales_Data[[#This Row],[Total_Sales]]&gt;=50000,"High","Low")</f>
        <v>Low</v>
      </c>
    </row>
    <row r="456" spans="1:15" x14ac:dyDescent="0.3">
      <c r="A456">
        <v>1455</v>
      </c>
      <c r="B456" s="4">
        <v>46184</v>
      </c>
      <c r="C456" t="s">
        <v>30</v>
      </c>
      <c r="D456" t="s">
        <v>52</v>
      </c>
      <c r="E456">
        <v>5</v>
      </c>
      <c r="F456">
        <v>800</v>
      </c>
      <c r="G456" t="s">
        <v>86</v>
      </c>
      <c r="H456" t="s">
        <v>88</v>
      </c>
      <c r="I456" t="s">
        <v>81</v>
      </c>
      <c r="J456">
        <v>4000</v>
      </c>
      <c r="K456" t="str">
        <f>_xlfn.XLOOKUP(Sales_Data[[#This Row],[Product_ID]],products!A:A,products!B:B,"Not Found")</f>
        <v>Mouse</v>
      </c>
      <c r="L456" t="str">
        <f>_xlfn.XLOOKUP(Sales_Data[[#This Row],[Product_ID]],products!A:A,products!C:C,"Not Found")</f>
        <v>Accessories</v>
      </c>
      <c r="M456" t="str">
        <f>_xlfn.XLOOKUP(C456,customers!A:A,customers!B:B,"Not Found")</f>
        <v>Anjali Kulkarni</v>
      </c>
      <c r="N456" t="str">
        <f>_xlfn.XLOOKUP(C455,customers!A:A,customers!C:C,"Not Found")</f>
        <v>Mumbai</v>
      </c>
      <c r="O456" t="str">
        <f>IF(Sales_Data[[#This Row],[Total_Sales]]&gt;=50000,"High","Low")</f>
        <v>Low</v>
      </c>
    </row>
    <row r="457" spans="1:15" x14ac:dyDescent="0.3">
      <c r="A457">
        <v>1456</v>
      </c>
      <c r="B457" s="4">
        <v>46185</v>
      </c>
      <c r="C457" t="s">
        <v>6</v>
      </c>
      <c r="D457" t="s">
        <v>62</v>
      </c>
      <c r="E457">
        <v>2</v>
      </c>
      <c r="F457">
        <v>3000</v>
      </c>
      <c r="G457" t="s">
        <v>89</v>
      </c>
      <c r="H457" t="s">
        <v>84</v>
      </c>
      <c r="I457" t="s">
        <v>85</v>
      </c>
      <c r="J457">
        <v>6000</v>
      </c>
      <c r="K457" t="str">
        <f>_xlfn.XLOOKUP(Sales_Data[[#This Row],[Product_ID]],products!A:A,products!B:B,"Not Found")</f>
        <v>Webcam</v>
      </c>
      <c r="L457" t="str">
        <f>_xlfn.XLOOKUP(Sales_Data[[#This Row],[Product_ID]],products!A:A,products!C:C,"Not Found")</f>
        <v>Accessories</v>
      </c>
      <c r="M457" t="str">
        <f>_xlfn.XLOOKUP(C457,customers!A:A,customers!B:B,"Not Found")</f>
        <v>Priya Patil</v>
      </c>
      <c r="N457" t="str">
        <f>_xlfn.XLOOKUP(C456,customers!A:A,customers!C:C,"Not Found")</f>
        <v>Nagpur</v>
      </c>
      <c r="O457" t="str">
        <f>IF(Sales_Data[[#This Row],[Total_Sales]]&gt;=50000,"High","Low")</f>
        <v>Low</v>
      </c>
    </row>
    <row r="458" spans="1:15" x14ac:dyDescent="0.3">
      <c r="A458">
        <v>1457</v>
      </c>
      <c r="B458" s="4">
        <v>46147</v>
      </c>
      <c r="C458" t="s">
        <v>24</v>
      </c>
      <c r="D458" t="s">
        <v>58</v>
      </c>
      <c r="E458">
        <v>6</v>
      </c>
      <c r="F458">
        <v>12000</v>
      </c>
      <c r="G458" t="s">
        <v>80</v>
      </c>
      <c r="H458" t="s">
        <v>79</v>
      </c>
      <c r="I458" t="s">
        <v>77</v>
      </c>
      <c r="J458">
        <v>72000</v>
      </c>
      <c r="K458" t="str">
        <f>_xlfn.XLOOKUP(Sales_Data[[#This Row],[Product_ID]],products!A:A,products!B:B,"Not Found")</f>
        <v>Printer</v>
      </c>
      <c r="L458" t="str">
        <f>_xlfn.XLOOKUP(Sales_Data[[#This Row],[Product_ID]],products!A:A,products!C:C,"Not Found")</f>
        <v>Electronics</v>
      </c>
      <c r="M458" t="str">
        <f>_xlfn.XLOOKUP(C458,customers!A:A,customers!B:B,"Not Found")</f>
        <v>Pooja Deshmukh</v>
      </c>
      <c r="N458" t="str">
        <f>_xlfn.XLOOKUP(C457,customers!A:A,customers!C:C,"Not Found")</f>
        <v>Pune</v>
      </c>
      <c r="O458" t="str">
        <f>IF(Sales_Data[[#This Row],[Total_Sales]]&gt;=50000,"High","Low")</f>
        <v>High</v>
      </c>
    </row>
    <row r="459" spans="1:15" x14ac:dyDescent="0.3">
      <c r="A459">
        <v>1458</v>
      </c>
      <c r="B459" s="4">
        <v>46193</v>
      </c>
      <c r="C459" t="s">
        <v>32</v>
      </c>
      <c r="D459" t="s">
        <v>62</v>
      </c>
      <c r="E459">
        <v>6</v>
      </c>
      <c r="F459">
        <v>3000</v>
      </c>
      <c r="G459" t="s">
        <v>78</v>
      </c>
      <c r="H459" t="s">
        <v>84</v>
      </c>
      <c r="I459" t="s">
        <v>81</v>
      </c>
      <c r="J459">
        <v>18000</v>
      </c>
      <c r="K459" t="str">
        <f>_xlfn.XLOOKUP(Sales_Data[[#This Row],[Product_ID]],products!A:A,products!B:B,"Not Found")</f>
        <v>Webcam</v>
      </c>
      <c r="L459" t="str">
        <f>_xlfn.XLOOKUP(Sales_Data[[#This Row],[Product_ID]],products!A:A,products!C:C,"Not Found")</f>
        <v>Accessories</v>
      </c>
      <c r="M459" t="str">
        <f>_xlfn.XLOOKUP(C459,customers!A:A,customers!B:B,"Not Found")</f>
        <v>Sahil Khan</v>
      </c>
      <c r="N459" t="str">
        <f>_xlfn.XLOOKUP(C458,customers!A:A,customers!C:C,"Not Found")</f>
        <v>Aurangabad</v>
      </c>
      <c r="O459" t="str">
        <f>IF(Sales_Data[[#This Row],[Total_Sales]]&gt;=50000,"High","Low")</f>
        <v>Low</v>
      </c>
    </row>
    <row r="460" spans="1:15" x14ac:dyDescent="0.3">
      <c r="A460">
        <v>1459</v>
      </c>
      <c r="B460" s="4">
        <v>46077</v>
      </c>
      <c r="C460" t="s">
        <v>21</v>
      </c>
      <c r="D460" t="s">
        <v>54</v>
      </c>
      <c r="E460">
        <v>8</v>
      </c>
      <c r="F460">
        <v>15000</v>
      </c>
      <c r="G460" t="s">
        <v>82</v>
      </c>
      <c r="H460" t="s">
        <v>83</v>
      </c>
      <c r="I460" t="s">
        <v>85</v>
      </c>
      <c r="J460">
        <v>120000</v>
      </c>
      <c r="K460" t="str">
        <f>_xlfn.XLOOKUP(Sales_Data[[#This Row],[Product_ID]],products!A:A,products!B:B,"Not Found")</f>
        <v>Monitor</v>
      </c>
      <c r="L460" t="str">
        <f>_xlfn.XLOOKUP(Sales_Data[[#This Row],[Product_ID]],products!A:A,products!C:C,"Not Found")</f>
        <v>Electronics</v>
      </c>
      <c r="M460" t="str">
        <f>_xlfn.XLOOKUP(C460,customers!A:A,customers!B:B,"Not Found")</f>
        <v>Karan Mehta</v>
      </c>
      <c r="N460" t="str">
        <f>_xlfn.XLOOKUP(C459,customers!A:A,customers!C:C,"Not Found")</f>
        <v>Pune</v>
      </c>
      <c r="O460" t="str">
        <f>IF(Sales_Data[[#This Row],[Total_Sales]]&gt;=50000,"High","Low")</f>
        <v>High</v>
      </c>
    </row>
    <row r="461" spans="1:15" x14ac:dyDescent="0.3">
      <c r="A461">
        <v>1460</v>
      </c>
      <c r="B461" s="4">
        <v>46170</v>
      </c>
      <c r="C461" t="s">
        <v>27</v>
      </c>
      <c r="D461" t="s">
        <v>58</v>
      </c>
      <c r="E461">
        <v>3</v>
      </c>
      <c r="F461">
        <v>12000</v>
      </c>
      <c r="G461" t="s">
        <v>80</v>
      </c>
      <c r="H461" t="s">
        <v>88</v>
      </c>
      <c r="I461" t="s">
        <v>85</v>
      </c>
      <c r="J461">
        <v>36000</v>
      </c>
      <c r="K461" t="str">
        <f>_xlfn.XLOOKUP(Sales_Data[[#This Row],[Product_ID]],products!A:A,products!B:B,"Not Found")</f>
        <v>Printer</v>
      </c>
      <c r="L461" t="str">
        <f>_xlfn.XLOOKUP(Sales_Data[[#This Row],[Product_ID]],products!A:A,products!C:C,"Not Found")</f>
        <v>Electronics</v>
      </c>
      <c r="M461" t="str">
        <f>_xlfn.XLOOKUP(C461,customers!A:A,customers!B:B,"Not Found")</f>
        <v>Vikas Yadav</v>
      </c>
      <c r="N461" t="str">
        <f>_xlfn.XLOOKUP(C460,customers!A:A,customers!C:C,"Not Found")</f>
        <v>Bhopal</v>
      </c>
      <c r="O461" t="str">
        <f>IF(Sales_Data[[#This Row],[Total_Sales]]&gt;=50000,"High","Low")</f>
        <v>Low</v>
      </c>
    </row>
    <row r="462" spans="1:15" x14ac:dyDescent="0.3">
      <c r="A462">
        <v>1461</v>
      </c>
      <c r="B462" s="4">
        <v>46048</v>
      </c>
      <c r="C462" t="s">
        <v>3</v>
      </c>
      <c r="D462" t="s">
        <v>46</v>
      </c>
      <c r="E462">
        <v>8</v>
      </c>
      <c r="F462">
        <v>55000</v>
      </c>
      <c r="G462" t="s">
        <v>78</v>
      </c>
      <c r="H462" t="s">
        <v>79</v>
      </c>
      <c r="I462" t="s">
        <v>87</v>
      </c>
      <c r="J462">
        <v>440000</v>
      </c>
      <c r="K462" t="str">
        <f>_xlfn.XLOOKUP(Sales_Data[[#This Row],[Product_ID]],products!A:A,products!B:B,"Not Found")</f>
        <v>Laptop</v>
      </c>
      <c r="L462" t="str">
        <f>_xlfn.XLOOKUP(Sales_Data[[#This Row],[Product_ID]],products!A:A,products!C:C,"Not Found")</f>
        <v>Electronics</v>
      </c>
      <c r="M462" t="str">
        <f>_xlfn.XLOOKUP(C462,customers!A:A,customers!B:B,"Not Found")</f>
        <v>Rahul Sharma</v>
      </c>
      <c r="N462" t="str">
        <f>_xlfn.XLOOKUP(C461,customers!A:A,customers!C:C,"Not Found")</f>
        <v>Thane</v>
      </c>
      <c r="O462" t="str">
        <f>IF(Sales_Data[[#This Row],[Total_Sales]]&gt;=50000,"High","Low")</f>
        <v>High</v>
      </c>
    </row>
    <row r="463" spans="1:15" x14ac:dyDescent="0.3">
      <c r="A463">
        <v>1462</v>
      </c>
      <c r="B463" s="4">
        <v>46023</v>
      </c>
      <c r="C463" t="s">
        <v>24</v>
      </c>
      <c r="D463" t="s">
        <v>62</v>
      </c>
      <c r="E463">
        <v>7</v>
      </c>
      <c r="F463">
        <v>3000</v>
      </c>
      <c r="G463" t="s">
        <v>75</v>
      </c>
      <c r="H463" t="s">
        <v>76</v>
      </c>
      <c r="I463" t="s">
        <v>85</v>
      </c>
      <c r="J463">
        <v>21000</v>
      </c>
      <c r="K463" t="str">
        <f>_xlfn.XLOOKUP(Sales_Data[[#This Row],[Product_ID]],products!A:A,products!B:B,"Not Found")</f>
        <v>Webcam</v>
      </c>
      <c r="L463" t="str">
        <f>_xlfn.XLOOKUP(Sales_Data[[#This Row],[Product_ID]],products!A:A,products!C:C,"Not Found")</f>
        <v>Accessories</v>
      </c>
      <c r="M463" t="str">
        <f>_xlfn.XLOOKUP(C463,customers!A:A,customers!B:B,"Not Found")</f>
        <v>Pooja Deshmukh</v>
      </c>
      <c r="N463" t="str">
        <f>_xlfn.XLOOKUP(C462,customers!A:A,customers!C:C,"Not Found")</f>
        <v>Nagpur</v>
      </c>
      <c r="O463" t="str">
        <f>IF(Sales_Data[[#This Row],[Total_Sales]]&gt;=50000,"High","Low")</f>
        <v>Low</v>
      </c>
    </row>
    <row r="464" spans="1:15" x14ac:dyDescent="0.3">
      <c r="A464">
        <v>1463</v>
      </c>
      <c r="B464" s="4">
        <v>46093</v>
      </c>
      <c r="C464" t="s">
        <v>38</v>
      </c>
      <c r="D464" t="s">
        <v>52</v>
      </c>
      <c r="E464">
        <v>2</v>
      </c>
      <c r="F464">
        <v>800</v>
      </c>
      <c r="G464" t="s">
        <v>86</v>
      </c>
      <c r="H464" t="s">
        <v>83</v>
      </c>
      <c r="I464" t="s">
        <v>85</v>
      </c>
      <c r="J464">
        <v>1600</v>
      </c>
      <c r="K464" t="str">
        <f>_xlfn.XLOOKUP(Sales_Data[[#This Row],[Product_ID]],products!A:A,products!B:B,"Not Found")</f>
        <v>Mouse</v>
      </c>
      <c r="L464" t="str">
        <f>_xlfn.XLOOKUP(Sales_Data[[#This Row],[Product_ID]],products!A:A,products!C:C,"Not Found")</f>
        <v>Accessories</v>
      </c>
      <c r="M464" t="str">
        <f>_xlfn.XLOOKUP(C464,customers!A:A,customers!B:B,"Not Found")</f>
        <v>Komal Pawar</v>
      </c>
      <c r="N464" t="str">
        <f>_xlfn.XLOOKUP(C463,customers!A:A,customers!C:C,"Not Found")</f>
        <v>Aurangabad</v>
      </c>
      <c r="O464" t="str">
        <f>IF(Sales_Data[[#This Row],[Total_Sales]]&gt;=50000,"High","Low")</f>
        <v>Low</v>
      </c>
    </row>
    <row r="465" spans="1:15" x14ac:dyDescent="0.3">
      <c r="A465">
        <v>1464</v>
      </c>
      <c r="B465" s="4">
        <v>46193</v>
      </c>
      <c r="C465" t="s">
        <v>18</v>
      </c>
      <c r="D465" t="s">
        <v>49</v>
      </c>
      <c r="E465">
        <v>3</v>
      </c>
      <c r="F465">
        <v>2500</v>
      </c>
      <c r="G465" t="s">
        <v>78</v>
      </c>
      <c r="H465" t="s">
        <v>88</v>
      </c>
      <c r="I465" t="s">
        <v>85</v>
      </c>
      <c r="J465">
        <v>7500</v>
      </c>
      <c r="K465" t="str">
        <f>_xlfn.XLOOKUP(Sales_Data[[#This Row],[Product_ID]],products!A:A,products!B:B,"Not Found")</f>
        <v>Keyboard</v>
      </c>
      <c r="L465" t="str">
        <f>_xlfn.XLOOKUP(Sales_Data[[#This Row],[Product_ID]],products!A:A,products!C:C,"Not Found")</f>
        <v>Accessories</v>
      </c>
      <c r="M465" t="str">
        <f>_xlfn.XLOOKUP(C465,customers!A:A,customers!B:B,"Not Found")</f>
        <v>Neha Gupta</v>
      </c>
      <c r="N465" t="str">
        <f>_xlfn.XLOOKUP(C464,customers!A:A,customers!C:C,"Not Found")</f>
        <v>Indore</v>
      </c>
      <c r="O465" t="str">
        <f>IF(Sales_Data[[#This Row],[Total_Sales]]&gt;=50000,"High","Low")</f>
        <v>Low</v>
      </c>
    </row>
    <row r="466" spans="1:15" x14ac:dyDescent="0.3">
      <c r="A466">
        <v>1465</v>
      </c>
      <c r="B466" s="4">
        <v>46190</v>
      </c>
      <c r="C466" t="s">
        <v>21</v>
      </c>
      <c r="D466" t="s">
        <v>54</v>
      </c>
      <c r="E466">
        <v>2</v>
      </c>
      <c r="F466">
        <v>15000</v>
      </c>
      <c r="G466" t="s">
        <v>86</v>
      </c>
      <c r="H466" t="s">
        <v>79</v>
      </c>
      <c r="I466" t="s">
        <v>77</v>
      </c>
      <c r="J466">
        <v>30000</v>
      </c>
      <c r="K466" t="str">
        <f>_xlfn.XLOOKUP(Sales_Data[[#This Row],[Product_ID]],products!A:A,products!B:B,"Not Found")</f>
        <v>Monitor</v>
      </c>
      <c r="L466" t="str">
        <f>_xlfn.XLOOKUP(Sales_Data[[#This Row],[Product_ID]],products!A:A,products!C:C,"Not Found")</f>
        <v>Electronics</v>
      </c>
      <c r="M466" t="str">
        <f>_xlfn.XLOOKUP(C466,customers!A:A,customers!B:B,"Not Found")</f>
        <v>Karan Mehta</v>
      </c>
      <c r="N466" t="str">
        <f>_xlfn.XLOOKUP(C465,customers!A:A,customers!C:C,"Not Found")</f>
        <v>Indore</v>
      </c>
      <c r="O466" t="str">
        <f>IF(Sales_Data[[#This Row],[Total_Sales]]&gt;=50000,"High","Low")</f>
        <v>Low</v>
      </c>
    </row>
    <row r="467" spans="1:15" x14ac:dyDescent="0.3">
      <c r="A467">
        <v>1466</v>
      </c>
      <c r="B467" s="4">
        <v>46042</v>
      </c>
      <c r="C467" t="s">
        <v>24</v>
      </c>
      <c r="D467" t="s">
        <v>54</v>
      </c>
      <c r="E467">
        <v>3</v>
      </c>
      <c r="F467">
        <v>15000</v>
      </c>
      <c r="G467" t="s">
        <v>80</v>
      </c>
      <c r="H467" t="s">
        <v>76</v>
      </c>
      <c r="I467" t="s">
        <v>81</v>
      </c>
      <c r="J467">
        <v>45000</v>
      </c>
      <c r="K467" t="str">
        <f>_xlfn.XLOOKUP(Sales_Data[[#This Row],[Product_ID]],products!A:A,products!B:B,"Not Found")</f>
        <v>Monitor</v>
      </c>
      <c r="L467" t="str">
        <f>_xlfn.XLOOKUP(Sales_Data[[#This Row],[Product_ID]],products!A:A,products!C:C,"Not Found")</f>
        <v>Electronics</v>
      </c>
      <c r="M467" t="str">
        <f>_xlfn.XLOOKUP(C467,customers!A:A,customers!B:B,"Not Found")</f>
        <v>Pooja Deshmukh</v>
      </c>
      <c r="N467" t="str">
        <f>_xlfn.XLOOKUP(C466,customers!A:A,customers!C:C,"Not Found")</f>
        <v>Bhopal</v>
      </c>
      <c r="O467" t="str">
        <f>IF(Sales_Data[[#This Row],[Total_Sales]]&gt;=50000,"High","Low")</f>
        <v>Low</v>
      </c>
    </row>
    <row r="468" spans="1:15" x14ac:dyDescent="0.3">
      <c r="A468">
        <v>1467</v>
      </c>
      <c r="B468" s="4">
        <v>46201</v>
      </c>
      <c r="C468" t="s">
        <v>3</v>
      </c>
      <c r="D468" t="s">
        <v>46</v>
      </c>
      <c r="E468">
        <v>6</v>
      </c>
      <c r="F468">
        <v>55000</v>
      </c>
      <c r="G468" t="s">
        <v>78</v>
      </c>
      <c r="H468" t="s">
        <v>88</v>
      </c>
      <c r="I468" t="s">
        <v>87</v>
      </c>
      <c r="J468">
        <v>330000</v>
      </c>
      <c r="K468" t="str">
        <f>_xlfn.XLOOKUP(Sales_Data[[#This Row],[Product_ID]],products!A:A,products!B:B,"Not Found")</f>
        <v>Laptop</v>
      </c>
      <c r="L468" t="str">
        <f>_xlfn.XLOOKUP(Sales_Data[[#This Row],[Product_ID]],products!A:A,products!C:C,"Not Found")</f>
        <v>Electronics</v>
      </c>
      <c r="M468" t="str">
        <f>_xlfn.XLOOKUP(C468,customers!A:A,customers!B:B,"Not Found")</f>
        <v>Rahul Sharma</v>
      </c>
      <c r="N468" t="str">
        <f>_xlfn.XLOOKUP(C467,customers!A:A,customers!C:C,"Not Found")</f>
        <v>Aurangabad</v>
      </c>
      <c r="O468" t="str">
        <f>IF(Sales_Data[[#This Row],[Total_Sales]]&gt;=50000,"High","Low")</f>
        <v>High</v>
      </c>
    </row>
    <row r="469" spans="1:15" x14ac:dyDescent="0.3">
      <c r="A469">
        <v>1468</v>
      </c>
      <c r="B469" s="4">
        <v>46081</v>
      </c>
      <c r="C469" t="s">
        <v>6</v>
      </c>
      <c r="D469" t="s">
        <v>62</v>
      </c>
      <c r="E469">
        <v>7</v>
      </c>
      <c r="F469">
        <v>3000</v>
      </c>
      <c r="G469" t="s">
        <v>78</v>
      </c>
      <c r="H469" t="s">
        <v>79</v>
      </c>
      <c r="I469" t="s">
        <v>77</v>
      </c>
      <c r="J469">
        <v>21000</v>
      </c>
      <c r="K469" t="str">
        <f>_xlfn.XLOOKUP(Sales_Data[[#This Row],[Product_ID]],products!A:A,products!B:B,"Not Found")</f>
        <v>Webcam</v>
      </c>
      <c r="L469" t="str">
        <f>_xlfn.XLOOKUP(Sales_Data[[#This Row],[Product_ID]],products!A:A,products!C:C,"Not Found")</f>
        <v>Accessories</v>
      </c>
      <c r="M469" t="str">
        <f>_xlfn.XLOOKUP(C469,customers!A:A,customers!B:B,"Not Found")</f>
        <v>Priya Patil</v>
      </c>
      <c r="N469" t="str">
        <f>_xlfn.XLOOKUP(C468,customers!A:A,customers!C:C,"Not Found")</f>
        <v>Nagpur</v>
      </c>
      <c r="O469" t="str">
        <f>IF(Sales_Data[[#This Row],[Total_Sales]]&gt;=50000,"High","Low")</f>
        <v>Low</v>
      </c>
    </row>
    <row r="470" spans="1:15" x14ac:dyDescent="0.3">
      <c r="A470">
        <v>1469</v>
      </c>
      <c r="B470" s="4">
        <v>46099</v>
      </c>
      <c r="C470" t="s">
        <v>18</v>
      </c>
      <c r="D470" t="s">
        <v>58</v>
      </c>
      <c r="E470">
        <v>3</v>
      </c>
      <c r="F470">
        <v>12000</v>
      </c>
      <c r="G470" t="s">
        <v>89</v>
      </c>
      <c r="H470" t="s">
        <v>76</v>
      </c>
      <c r="I470" t="s">
        <v>87</v>
      </c>
      <c r="J470">
        <v>36000</v>
      </c>
      <c r="K470" t="str">
        <f>_xlfn.XLOOKUP(Sales_Data[[#This Row],[Product_ID]],products!A:A,products!B:B,"Not Found")</f>
        <v>Printer</v>
      </c>
      <c r="L470" t="str">
        <f>_xlfn.XLOOKUP(Sales_Data[[#This Row],[Product_ID]],products!A:A,products!C:C,"Not Found")</f>
        <v>Electronics</v>
      </c>
      <c r="M470" t="str">
        <f>_xlfn.XLOOKUP(C470,customers!A:A,customers!B:B,"Not Found")</f>
        <v>Neha Gupta</v>
      </c>
      <c r="N470" t="str">
        <f>_xlfn.XLOOKUP(C469,customers!A:A,customers!C:C,"Not Found")</f>
        <v>Pune</v>
      </c>
      <c r="O470" t="str">
        <f>IF(Sales_Data[[#This Row],[Total_Sales]]&gt;=50000,"High","Low")</f>
        <v>Low</v>
      </c>
    </row>
    <row r="471" spans="1:15" x14ac:dyDescent="0.3">
      <c r="A471">
        <v>1470</v>
      </c>
      <c r="B471" s="4">
        <v>46167</v>
      </c>
      <c r="C471" t="s">
        <v>27</v>
      </c>
      <c r="D471" t="s">
        <v>49</v>
      </c>
      <c r="E471">
        <v>1</v>
      </c>
      <c r="F471">
        <v>2500</v>
      </c>
      <c r="G471" t="s">
        <v>80</v>
      </c>
      <c r="H471" t="s">
        <v>76</v>
      </c>
      <c r="I471" t="s">
        <v>81</v>
      </c>
      <c r="J471">
        <v>2500</v>
      </c>
      <c r="K471" t="str">
        <f>_xlfn.XLOOKUP(Sales_Data[[#This Row],[Product_ID]],products!A:A,products!B:B,"Not Found")</f>
        <v>Keyboard</v>
      </c>
      <c r="L471" t="str">
        <f>_xlfn.XLOOKUP(Sales_Data[[#This Row],[Product_ID]],products!A:A,products!C:C,"Not Found")</f>
        <v>Accessories</v>
      </c>
      <c r="M471" t="str">
        <f>_xlfn.XLOOKUP(C471,customers!A:A,customers!B:B,"Not Found")</f>
        <v>Vikas Yadav</v>
      </c>
      <c r="N471" t="str">
        <f>_xlfn.XLOOKUP(C470,customers!A:A,customers!C:C,"Not Found")</f>
        <v>Indore</v>
      </c>
      <c r="O471" t="str">
        <f>IF(Sales_Data[[#This Row],[Total_Sales]]&gt;=50000,"High","Low")</f>
        <v>Low</v>
      </c>
    </row>
    <row r="472" spans="1:15" x14ac:dyDescent="0.3">
      <c r="A472">
        <v>1471</v>
      </c>
      <c r="B472" s="4">
        <v>46077</v>
      </c>
      <c r="C472" t="s">
        <v>34</v>
      </c>
      <c r="D472" t="s">
        <v>58</v>
      </c>
      <c r="E472">
        <v>3</v>
      </c>
      <c r="F472">
        <v>12000</v>
      </c>
      <c r="G472" t="s">
        <v>89</v>
      </c>
      <c r="H472" t="s">
        <v>84</v>
      </c>
      <c r="I472" t="s">
        <v>81</v>
      </c>
      <c r="J472">
        <v>36000</v>
      </c>
      <c r="K472" t="str">
        <f>_xlfn.XLOOKUP(Sales_Data[[#This Row],[Product_ID]],products!A:A,products!B:B,"Not Found")</f>
        <v>Printer</v>
      </c>
      <c r="L472" t="str">
        <f>_xlfn.XLOOKUP(Sales_Data[[#This Row],[Product_ID]],products!A:A,products!C:C,"Not Found")</f>
        <v>Electronics</v>
      </c>
      <c r="M472" t="str">
        <f>_xlfn.XLOOKUP(C472,customers!A:A,customers!B:B,"Not Found")</f>
        <v>Riya Shah</v>
      </c>
      <c r="N472" t="str">
        <f>_xlfn.XLOOKUP(C471,customers!A:A,customers!C:C,"Not Found")</f>
        <v>Thane</v>
      </c>
      <c r="O472" t="str">
        <f>IF(Sales_Data[[#This Row],[Total_Sales]]&gt;=50000,"High","Low")</f>
        <v>Low</v>
      </c>
    </row>
    <row r="473" spans="1:15" x14ac:dyDescent="0.3">
      <c r="A473">
        <v>1472</v>
      </c>
      <c r="B473" s="4">
        <v>46048</v>
      </c>
      <c r="C473" t="s">
        <v>6</v>
      </c>
      <c r="D473" t="s">
        <v>54</v>
      </c>
      <c r="E473">
        <v>3</v>
      </c>
      <c r="F473">
        <v>15000</v>
      </c>
      <c r="G473" t="s">
        <v>78</v>
      </c>
      <c r="H473" t="s">
        <v>84</v>
      </c>
      <c r="I473" t="s">
        <v>81</v>
      </c>
      <c r="J473">
        <v>45000</v>
      </c>
      <c r="K473" t="str">
        <f>_xlfn.XLOOKUP(Sales_Data[[#This Row],[Product_ID]],products!A:A,products!B:B,"Not Found")</f>
        <v>Monitor</v>
      </c>
      <c r="L473" t="str">
        <f>_xlfn.XLOOKUP(Sales_Data[[#This Row],[Product_ID]],products!A:A,products!C:C,"Not Found")</f>
        <v>Electronics</v>
      </c>
      <c r="M473" t="str">
        <f>_xlfn.XLOOKUP(C473,customers!A:A,customers!B:B,"Not Found")</f>
        <v>Priya Patil</v>
      </c>
      <c r="N473" t="str">
        <f>_xlfn.XLOOKUP(C472,customers!A:A,customers!C:C,"Not Found")</f>
        <v>Mumbai</v>
      </c>
      <c r="O473" t="str">
        <f>IF(Sales_Data[[#This Row],[Total_Sales]]&gt;=50000,"High","Low")</f>
        <v>Low</v>
      </c>
    </row>
    <row r="474" spans="1:15" x14ac:dyDescent="0.3">
      <c r="A474">
        <v>1473</v>
      </c>
      <c r="B474" s="4">
        <v>46103</v>
      </c>
      <c r="C474" t="s">
        <v>21</v>
      </c>
      <c r="D474" t="s">
        <v>58</v>
      </c>
      <c r="E474">
        <v>3</v>
      </c>
      <c r="F474">
        <v>12000</v>
      </c>
      <c r="G474" t="s">
        <v>75</v>
      </c>
      <c r="H474" t="s">
        <v>83</v>
      </c>
      <c r="I474" t="s">
        <v>77</v>
      </c>
      <c r="J474">
        <v>36000</v>
      </c>
      <c r="K474" t="str">
        <f>_xlfn.XLOOKUP(Sales_Data[[#This Row],[Product_ID]],products!A:A,products!B:B,"Not Found")</f>
        <v>Printer</v>
      </c>
      <c r="L474" t="str">
        <f>_xlfn.XLOOKUP(Sales_Data[[#This Row],[Product_ID]],products!A:A,products!C:C,"Not Found")</f>
        <v>Electronics</v>
      </c>
      <c r="M474" t="str">
        <f>_xlfn.XLOOKUP(C474,customers!A:A,customers!B:B,"Not Found")</f>
        <v>Karan Mehta</v>
      </c>
      <c r="N474" t="str">
        <f>_xlfn.XLOOKUP(C473,customers!A:A,customers!C:C,"Not Found")</f>
        <v>Pune</v>
      </c>
      <c r="O474" t="str">
        <f>IF(Sales_Data[[#This Row],[Total_Sales]]&gt;=50000,"High","Low")</f>
        <v>Low</v>
      </c>
    </row>
    <row r="475" spans="1:15" x14ac:dyDescent="0.3">
      <c r="A475">
        <v>1474</v>
      </c>
      <c r="B475" s="4">
        <v>46176</v>
      </c>
      <c r="C475" t="s">
        <v>27</v>
      </c>
      <c r="D475" t="s">
        <v>54</v>
      </c>
      <c r="E475">
        <v>5</v>
      </c>
      <c r="F475">
        <v>15000</v>
      </c>
      <c r="G475" t="s">
        <v>86</v>
      </c>
      <c r="H475" t="s">
        <v>79</v>
      </c>
      <c r="I475" t="s">
        <v>85</v>
      </c>
      <c r="J475">
        <v>75000</v>
      </c>
      <c r="K475" t="str">
        <f>_xlfn.XLOOKUP(Sales_Data[[#This Row],[Product_ID]],products!A:A,products!B:B,"Not Found")</f>
        <v>Monitor</v>
      </c>
      <c r="L475" t="str">
        <f>_xlfn.XLOOKUP(Sales_Data[[#This Row],[Product_ID]],products!A:A,products!C:C,"Not Found")</f>
        <v>Electronics</v>
      </c>
      <c r="M475" t="str">
        <f>_xlfn.XLOOKUP(C475,customers!A:A,customers!B:B,"Not Found")</f>
        <v>Vikas Yadav</v>
      </c>
      <c r="N475" t="str">
        <f>_xlfn.XLOOKUP(C474,customers!A:A,customers!C:C,"Not Found")</f>
        <v>Bhopal</v>
      </c>
      <c r="O475" t="str">
        <f>IF(Sales_Data[[#This Row],[Total_Sales]]&gt;=50000,"High","Low")</f>
        <v>High</v>
      </c>
    </row>
    <row r="476" spans="1:15" x14ac:dyDescent="0.3">
      <c r="A476">
        <v>1475</v>
      </c>
      <c r="B476" s="4">
        <v>46178</v>
      </c>
      <c r="C476" t="s">
        <v>27</v>
      </c>
      <c r="D476" t="s">
        <v>54</v>
      </c>
      <c r="E476">
        <v>4</v>
      </c>
      <c r="F476">
        <v>15000</v>
      </c>
      <c r="G476" t="s">
        <v>86</v>
      </c>
      <c r="H476" t="s">
        <v>88</v>
      </c>
      <c r="I476" t="s">
        <v>85</v>
      </c>
      <c r="J476">
        <v>60000</v>
      </c>
      <c r="K476" t="str">
        <f>_xlfn.XLOOKUP(Sales_Data[[#This Row],[Product_ID]],products!A:A,products!B:B,"Not Found")</f>
        <v>Monitor</v>
      </c>
      <c r="L476" t="str">
        <f>_xlfn.XLOOKUP(Sales_Data[[#This Row],[Product_ID]],products!A:A,products!C:C,"Not Found")</f>
        <v>Electronics</v>
      </c>
      <c r="M476" t="str">
        <f>_xlfn.XLOOKUP(C476,customers!A:A,customers!B:B,"Not Found")</f>
        <v>Vikas Yadav</v>
      </c>
      <c r="N476" t="str">
        <f>_xlfn.XLOOKUP(C475,customers!A:A,customers!C:C,"Not Found")</f>
        <v>Thane</v>
      </c>
      <c r="O476" t="str">
        <f>IF(Sales_Data[[#This Row],[Total_Sales]]&gt;=50000,"High","Low")</f>
        <v>High</v>
      </c>
    </row>
    <row r="477" spans="1:15" x14ac:dyDescent="0.3">
      <c r="A477">
        <v>1476</v>
      </c>
      <c r="B477" s="4">
        <v>46084</v>
      </c>
      <c r="C477" t="s">
        <v>36</v>
      </c>
      <c r="D477" t="s">
        <v>46</v>
      </c>
      <c r="E477">
        <v>8</v>
      </c>
      <c r="F477">
        <v>55000</v>
      </c>
      <c r="G477" t="s">
        <v>89</v>
      </c>
      <c r="H477" t="s">
        <v>79</v>
      </c>
      <c r="I477" t="s">
        <v>87</v>
      </c>
      <c r="J477">
        <v>440000</v>
      </c>
      <c r="K477" t="str">
        <f>_xlfn.XLOOKUP(Sales_Data[[#This Row],[Product_ID]],products!A:A,products!B:B,"Not Found")</f>
        <v>Laptop</v>
      </c>
      <c r="L477" t="str">
        <f>_xlfn.XLOOKUP(Sales_Data[[#This Row],[Product_ID]],products!A:A,products!C:C,"Not Found")</f>
        <v>Electronics</v>
      </c>
      <c r="M477" t="str">
        <f>_xlfn.XLOOKUP(C477,customers!A:A,customers!B:B,"Not Found")</f>
        <v>Akash Jain</v>
      </c>
      <c r="N477" t="str">
        <f>_xlfn.XLOOKUP(C476,customers!A:A,customers!C:C,"Not Found")</f>
        <v>Thane</v>
      </c>
      <c r="O477" t="str">
        <f>IF(Sales_Data[[#This Row],[Total_Sales]]&gt;=50000,"High","Low")</f>
        <v>High</v>
      </c>
    </row>
    <row r="478" spans="1:15" x14ac:dyDescent="0.3">
      <c r="A478">
        <v>1477</v>
      </c>
      <c r="B478" s="4">
        <v>46175</v>
      </c>
      <c r="C478" t="s">
        <v>32</v>
      </c>
      <c r="D478" t="s">
        <v>62</v>
      </c>
      <c r="E478">
        <v>2</v>
      </c>
      <c r="F478">
        <v>3000</v>
      </c>
      <c r="G478" t="s">
        <v>80</v>
      </c>
      <c r="H478" t="s">
        <v>79</v>
      </c>
      <c r="I478" t="s">
        <v>85</v>
      </c>
      <c r="J478">
        <v>6000</v>
      </c>
      <c r="K478" t="str">
        <f>_xlfn.XLOOKUP(Sales_Data[[#This Row],[Product_ID]],products!A:A,products!B:B,"Not Found")</f>
        <v>Webcam</v>
      </c>
      <c r="L478" t="str">
        <f>_xlfn.XLOOKUP(Sales_Data[[#This Row],[Product_ID]],products!A:A,products!C:C,"Not Found")</f>
        <v>Accessories</v>
      </c>
      <c r="M478" t="str">
        <f>_xlfn.XLOOKUP(C478,customers!A:A,customers!B:B,"Not Found")</f>
        <v>Sahil Khan</v>
      </c>
      <c r="N478" t="str">
        <f>_xlfn.XLOOKUP(C477,customers!A:A,customers!C:C,"Not Found")</f>
        <v>Nashik</v>
      </c>
      <c r="O478" t="str">
        <f>IF(Sales_Data[[#This Row],[Total_Sales]]&gt;=50000,"High","Low")</f>
        <v>Low</v>
      </c>
    </row>
    <row r="479" spans="1:15" x14ac:dyDescent="0.3">
      <c r="A479">
        <v>1478</v>
      </c>
      <c r="B479" s="4">
        <v>46122</v>
      </c>
      <c r="C479" t="s">
        <v>9</v>
      </c>
      <c r="D479" t="s">
        <v>58</v>
      </c>
      <c r="E479">
        <v>7</v>
      </c>
      <c r="F479">
        <v>12000</v>
      </c>
      <c r="G479" t="s">
        <v>82</v>
      </c>
      <c r="H479" t="s">
        <v>84</v>
      </c>
      <c r="I479" t="s">
        <v>87</v>
      </c>
      <c r="J479">
        <v>84000</v>
      </c>
      <c r="K479" t="str">
        <f>_xlfn.XLOOKUP(Sales_Data[[#This Row],[Product_ID]],products!A:A,products!B:B,"Not Found")</f>
        <v>Printer</v>
      </c>
      <c r="L479" t="str">
        <f>_xlfn.XLOOKUP(Sales_Data[[#This Row],[Product_ID]],products!A:A,products!C:C,"Not Found")</f>
        <v>Electronics</v>
      </c>
      <c r="M479" t="str">
        <f>_xlfn.XLOOKUP(C479,customers!A:A,customers!B:B,"Not Found")</f>
        <v>Amit Verma</v>
      </c>
      <c r="N479" t="str">
        <f>_xlfn.XLOOKUP(C478,customers!A:A,customers!C:C,"Not Found")</f>
        <v>Pune</v>
      </c>
      <c r="O479" t="str">
        <f>IF(Sales_Data[[#This Row],[Total_Sales]]&gt;=50000,"High","Low")</f>
        <v>High</v>
      </c>
    </row>
    <row r="480" spans="1:15" x14ac:dyDescent="0.3">
      <c r="A480">
        <v>1479</v>
      </c>
      <c r="B480" s="4">
        <v>46041</v>
      </c>
      <c r="C480" t="s">
        <v>36</v>
      </c>
      <c r="D480" t="s">
        <v>62</v>
      </c>
      <c r="E480">
        <v>1</v>
      </c>
      <c r="F480">
        <v>3000</v>
      </c>
      <c r="G480" t="s">
        <v>80</v>
      </c>
      <c r="H480" t="s">
        <v>79</v>
      </c>
      <c r="I480" t="s">
        <v>77</v>
      </c>
      <c r="J480">
        <v>3000</v>
      </c>
      <c r="K480" t="str">
        <f>_xlfn.XLOOKUP(Sales_Data[[#This Row],[Product_ID]],products!A:A,products!B:B,"Not Found")</f>
        <v>Webcam</v>
      </c>
      <c r="L480" t="str">
        <f>_xlfn.XLOOKUP(Sales_Data[[#This Row],[Product_ID]],products!A:A,products!C:C,"Not Found")</f>
        <v>Accessories</v>
      </c>
      <c r="M480" t="str">
        <f>_xlfn.XLOOKUP(C480,customers!A:A,customers!B:B,"Not Found")</f>
        <v>Akash Jain</v>
      </c>
      <c r="N480" t="str">
        <f>_xlfn.XLOOKUP(C479,customers!A:A,customers!C:C,"Not Found")</f>
        <v>Mumbai</v>
      </c>
      <c r="O480" t="str">
        <f>IF(Sales_Data[[#This Row],[Total_Sales]]&gt;=50000,"High","Low")</f>
        <v>Low</v>
      </c>
    </row>
    <row r="481" spans="1:15" x14ac:dyDescent="0.3">
      <c r="A481">
        <v>1480</v>
      </c>
      <c r="B481" s="4">
        <v>46033</v>
      </c>
      <c r="C481" t="s">
        <v>12</v>
      </c>
      <c r="D481" t="s">
        <v>56</v>
      </c>
      <c r="E481">
        <v>1</v>
      </c>
      <c r="F481">
        <v>3500</v>
      </c>
      <c r="G481" t="s">
        <v>89</v>
      </c>
      <c r="H481" t="s">
        <v>84</v>
      </c>
      <c r="I481" t="s">
        <v>85</v>
      </c>
      <c r="J481">
        <v>3500</v>
      </c>
      <c r="K481" t="str">
        <f>_xlfn.XLOOKUP(Sales_Data[[#This Row],[Product_ID]],products!A:A,products!B:B,"Not Found")</f>
        <v>Headphones</v>
      </c>
      <c r="L481" t="str">
        <f>_xlfn.XLOOKUP(Sales_Data[[#This Row],[Product_ID]],products!A:A,products!C:C,"Not Found")</f>
        <v>Accessories</v>
      </c>
      <c r="M481" t="str">
        <f>_xlfn.XLOOKUP(C481,customers!A:A,customers!B:B,"Not Found")</f>
        <v>Sneha Joshi</v>
      </c>
      <c r="N481" t="str">
        <f>_xlfn.XLOOKUP(C480,customers!A:A,customers!C:C,"Not Found")</f>
        <v>Nashik</v>
      </c>
      <c r="O481" t="str">
        <f>IF(Sales_Data[[#This Row],[Total_Sales]]&gt;=50000,"High","Low")</f>
        <v>Low</v>
      </c>
    </row>
    <row r="482" spans="1:15" x14ac:dyDescent="0.3">
      <c r="A482">
        <v>1481</v>
      </c>
      <c r="B482" s="4">
        <v>46129</v>
      </c>
      <c r="C482" t="s">
        <v>36</v>
      </c>
      <c r="D482" t="s">
        <v>64</v>
      </c>
      <c r="E482">
        <v>7</v>
      </c>
      <c r="F482">
        <v>900</v>
      </c>
      <c r="G482" t="s">
        <v>86</v>
      </c>
      <c r="H482" t="s">
        <v>88</v>
      </c>
      <c r="I482" t="s">
        <v>77</v>
      </c>
      <c r="J482">
        <v>6300</v>
      </c>
      <c r="K482" t="str">
        <f>_xlfn.XLOOKUP(Sales_Data[[#This Row],[Product_ID]],products!A:A,products!B:B,"Not Found")</f>
        <v>USB Drive</v>
      </c>
      <c r="L482" t="str">
        <f>_xlfn.XLOOKUP(Sales_Data[[#This Row],[Product_ID]],products!A:A,products!C:C,"Not Found")</f>
        <v>Accessories</v>
      </c>
      <c r="M482" t="str">
        <f>_xlfn.XLOOKUP(C482,customers!A:A,customers!B:B,"Not Found")</f>
        <v>Akash Jain</v>
      </c>
      <c r="N482" t="str">
        <f>_xlfn.XLOOKUP(C481,customers!A:A,customers!C:C,"Not Found")</f>
        <v>Nashik</v>
      </c>
      <c r="O482" t="str">
        <f>IF(Sales_Data[[#This Row],[Total_Sales]]&gt;=50000,"High","Low")</f>
        <v>Low</v>
      </c>
    </row>
    <row r="483" spans="1:15" x14ac:dyDescent="0.3">
      <c r="A483">
        <v>1482</v>
      </c>
      <c r="B483" s="4">
        <v>46180</v>
      </c>
      <c r="C483" t="s">
        <v>27</v>
      </c>
      <c r="D483" t="s">
        <v>64</v>
      </c>
      <c r="E483">
        <v>3</v>
      </c>
      <c r="F483">
        <v>900</v>
      </c>
      <c r="G483" t="s">
        <v>82</v>
      </c>
      <c r="H483" t="s">
        <v>79</v>
      </c>
      <c r="I483" t="s">
        <v>85</v>
      </c>
      <c r="J483">
        <v>2700</v>
      </c>
      <c r="K483" t="str">
        <f>_xlfn.XLOOKUP(Sales_Data[[#This Row],[Product_ID]],products!A:A,products!B:B,"Not Found")</f>
        <v>USB Drive</v>
      </c>
      <c r="L483" t="str">
        <f>_xlfn.XLOOKUP(Sales_Data[[#This Row],[Product_ID]],products!A:A,products!C:C,"Not Found")</f>
        <v>Accessories</v>
      </c>
      <c r="M483" t="str">
        <f>_xlfn.XLOOKUP(C483,customers!A:A,customers!B:B,"Not Found")</f>
        <v>Vikas Yadav</v>
      </c>
      <c r="N483" t="str">
        <f>_xlfn.XLOOKUP(C482,customers!A:A,customers!C:C,"Not Found")</f>
        <v>Nashik</v>
      </c>
      <c r="O483" t="str">
        <f>IF(Sales_Data[[#This Row],[Total_Sales]]&gt;=50000,"High","Low")</f>
        <v>Low</v>
      </c>
    </row>
    <row r="484" spans="1:15" x14ac:dyDescent="0.3">
      <c r="A484">
        <v>1483</v>
      </c>
      <c r="B484" s="4">
        <v>46075</v>
      </c>
      <c r="C484" t="s">
        <v>27</v>
      </c>
      <c r="D484" t="s">
        <v>49</v>
      </c>
      <c r="E484">
        <v>3</v>
      </c>
      <c r="F484">
        <v>2500</v>
      </c>
      <c r="G484" t="s">
        <v>80</v>
      </c>
      <c r="H484" t="s">
        <v>83</v>
      </c>
      <c r="I484" t="s">
        <v>81</v>
      </c>
      <c r="J484">
        <v>7500</v>
      </c>
      <c r="K484" t="str">
        <f>_xlfn.XLOOKUP(Sales_Data[[#This Row],[Product_ID]],products!A:A,products!B:B,"Not Found")</f>
        <v>Keyboard</v>
      </c>
      <c r="L484" t="str">
        <f>_xlfn.XLOOKUP(Sales_Data[[#This Row],[Product_ID]],products!A:A,products!C:C,"Not Found")</f>
        <v>Accessories</v>
      </c>
      <c r="M484" t="str">
        <f>_xlfn.XLOOKUP(C484,customers!A:A,customers!B:B,"Not Found")</f>
        <v>Vikas Yadav</v>
      </c>
      <c r="N484" t="str">
        <f>_xlfn.XLOOKUP(C483,customers!A:A,customers!C:C,"Not Found")</f>
        <v>Thane</v>
      </c>
      <c r="O484" t="str">
        <f>IF(Sales_Data[[#This Row],[Total_Sales]]&gt;=50000,"High","Low")</f>
        <v>Low</v>
      </c>
    </row>
    <row r="485" spans="1:15" x14ac:dyDescent="0.3">
      <c r="A485">
        <v>1484</v>
      </c>
      <c r="B485" s="4">
        <v>46189</v>
      </c>
      <c r="C485" t="s">
        <v>32</v>
      </c>
      <c r="D485" t="s">
        <v>66</v>
      </c>
      <c r="E485">
        <v>2</v>
      </c>
      <c r="F485">
        <v>30000</v>
      </c>
      <c r="G485" t="s">
        <v>82</v>
      </c>
      <c r="H485" t="s">
        <v>88</v>
      </c>
      <c r="I485" t="s">
        <v>87</v>
      </c>
      <c r="J485">
        <v>60000</v>
      </c>
      <c r="K485" t="str">
        <f>_xlfn.XLOOKUP(Sales_Data[[#This Row],[Product_ID]],products!A:A,products!B:B,"Not Found")</f>
        <v>Smartphone</v>
      </c>
      <c r="L485" t="str">
        <f>_xlfn.XLOOKUP(Sales_Data[[#This Row],[Product_ID]],products!A:A,products!C:C,"Not Found")</f>
        <v>Electronics</v>
      </c>
      <c r="M485" t="str">
        <f>_xlfn.XLOOKUP(C485,customers!A:A,customers!B:B,"Not Found")</f>
        <v>Sahil Khan</v>
      </c>
      <c r="N485" t="str">
        <f>_xlfn.XLOOKUP(C484,customers!A:A,customers!C:C,"Not Found")</f>
        <v>Thane</v>
      </c>
      <c r="O485" t="str">
        <f>IF(Sales_Data[[#This Row],[Total_Sales]]&gt;=50000,"High","Low")</f>
        <v>High</v>
      </c>
    </row>
    <row r="486" spans="1:15" x14ac:dyDescent="0.3">
      <c r="A486">
        <v>1485</v>
      </c>
      <c r="B486" s="4">
        <v>46045</v>
      </c>
      <c r="C486" t="s">
        <v>12</v>
      </c>
      <c r="D486" t="s">
        <v>46</v>
      </c>
      <c r="E486">
        <v>7</v>
      </c>
      <c r="F486">
        <v>55000</v>
      </c>
      <c r="G486" t="s">
        <v>78</v>
      </c>
      <c r="H486" t="s">
        <v>88</v>
      </c>
      <c r="I486" t="s">
        <v>77</v>
      </c>
      <c r="J486">
        <v>385000</v>
      </c>
      <c r="K486" t="str">
        <f>_xlfn.XLOOKUP(Sales_Data[[#This Row],[Product_ID]],products!A:A,products!B:B,"Not Found")</f>
        <v>Laptop</v>
      </c>
      <c r="L486" t="str">
        <f>_xlfn.XLOOKUP(Sales_Data[[#This Row],[Product_ID]],products!A:A,products!C:C,"Not Found")</f>
        <v>Electronics</v>
      </c>
      <c r="M486" t="str">
        <f>_xlfn.XLOOKUP(C486,customers!A:A,customers!B:B,"Not Found")</f>
        <v>Sneha Joshi</v>
      </c>
      <c r="N486" t="str">
        <f>_xlfn.XLOOKUP(C485,customers!A:A,customers!C:C,"Not Found")</f>
        <v>Pune</v>
      </c>
      <c r="O486" t="str">
        <f>IF(Sales_Data[[#This Row],[Total_Sales]]&gt;=50000,"High","Low")</f>
        <v>High</v>
      </c>
    </row>
    <row r="487" spans="1:15" x14ac:dyDescent="0.3">
      <c r="A487">
        <v>1486</v>
      </c>
      <c r="B487" s="4">
        <v>46191</v>
      </c>
      <c r="C487" t="s">
        <v>32</v>
      </c>
      <c r="D487" t="s">
        <v>56</v>
      </c>
      <c r="E487">
        <v>3</v>
      </c>
      <c r="F487">
        <v>3500</v>
      </c>
      <c r="G487" t="s">
        <v>78</v>
      </c>
      <c r="H487" t="s">
        <v>79</v>
      </c>
      <c r="I487" t="s">
        <v>87</v>
      </c>
      <c r="J487">
        <v>10500</v>
      </c>
      <c r="K487" t="str">
        <f>_xlfn.XLOOKUP(Sales_Data[[#This Row],[Product_ID]],products!A:A,products!B:B,"Not Found")</f>
        <v>Headphones</v>
      </c>
      <c r="L487" t="str">
        <f>_xlfn.XLOOKUP(Sales_Data[[#This Row],[Product_ID]],products!A:A,products!C:C,"Not Found")</f>
        <v>Accessories</v>
      </c>
      <c r="M487" t="str">
        <f>_xlfn.XLOOKUP(C487,customers!A:A,customers!B:B,"Not Found")</f>
        <v>Sahil Khan</v>
      </c>
      <c r="N487" t="str">
        <f>_xlfn.XLOOKUP(C486,customers!A:A,customers!C:C,"Not Found")</f>
        <v>Nashik</v>
      </c>
      <c r="O487" t="str">
        <f>IF(Sales_Data[[#This Row],[Total_Sales]]&gt;=50000,"High","Low")</f>
        <v>Low</v>
      </c>
    </row>
    <row r="488" spans="1:15" x14ac:dyDescent="0.3">
      <c r="A488">
        <v>1487</v>
      </c>
      <c r="B488" s="4">
        <v>46150</v>
      </c>
      <c r="C488" t="s">
        <v>9</v>
      </c>
      <c r="D488" t="s">
        <v>46</v>
      </c>
      <c r="E488">
        <v>6</v>
      </c>
      <c r="F488">
        <v>55000</v>
      </c>
      <c r="G488" t="s">
        <v>80</v>
      </c>
      <c r="H488" t="s">
        <v>84</v>
      </c>
      <c r="I488" t="s">
        <v>85</v>
      </c>
      <c r="J488">
        <v>330000</v>
      </c>
      <c r="K488" t="str">
        <f>_xlfn.XLOOKUP(Sales_Data[[#This Row],[Product_ID]],products!A:A,products!B:B,"Not Found")</f>
        <v>Laptop</v>
      </c>
      <c r="L488" t="str">
        <f>_xlfn.XLOOKUP(Sales_Data[[#This Row],[Product_ID]],products!A:A,products!C:C,"Not Found")</f>
        <v>Electronics</v>
      </c>
      <c r="M488" t="str">
        <f>_xlfn.XLOOKUP(C488,customers!A:A,customers!B:B,"Not Found")</f>
        <v>Amit Verma</v>
      </c>
      <c r="N488" t="str">
        <f>_xlfn.XLOOKUP(C487,customers!A:A,customers!C:C,"Not Found")</f>
        <v>Pune</v>
      </c>
      <c r="O488" t="str">
        <f>IF(Sales_Data[[#This Row],[Total_Sales]]&gt;=50000,"High","Low")</f>
        <v>High</v>
      </c>
    </row>
    <row r="489" spans="1:15" x14ac:dyDescent="0.3">
      <c r="A489">
        <v>1488</v>
      </c>
      <c r="B489" s="4">
        <v>46055</v>
      </c>
      <c r="C489" t="s">
        <v>18</v>
      </c>
      <c r="D489" t="s">
        <v>52</v>
      </c>
      <c r="E489">
        <v>5</v>
      </c>
      <c r="F489">
        <v>800</v>
      </c>
      <c r="G489" t="s">
        <v>86</v>
      </c>
      <c r="H489" t="s">
        <v>79</v>
      </c>
      <c r="I489" t="s">
        <v>77</v>
      </c>
      <c r="J489">
        <v>4000</v>
      </c>
      <c r="K489" t="str">
        <f>_xlfn.XLOOKUP(Sales_Data[[#This Row],[Product_ID]],products!A:A,products!B:B,"Not Found")</f>
        <v>Mouse</v>
      </c>
      <c r="L489" t="str">
        <f>_xlfn.XLOOKUP(Sales_Data[[#This Row],[Product_ID]],products!A:A,products!C:C,"Not Found")</f>
        <v>Accessories</v>
      </c>
      <c r="M489" t="str">
        <f>_xlfn.XLOOKUP(C489,customers!A:A,customers!B:B,"Not Found")</f>
        <v>Neha Gupta</v>
      </c>
      <c r="N489" t="str">
        <f>_xlfn.XLOOKUP(C488,customers!A:A,customers!C:C,"Not Found")</f>
        <v>Mumbai</v>
      </c>
      <c r="O489" t="str">
        <f>IF(Sales_Data[[#This Row],[Total_Sales]]&gt;=50000,"High","Low")</f>
        <v>Low</v>
      </c>
    </row>
    <row r="490" spans="1:15" x14ac:dyDescent="0.3">
      <c r="A490">
        <v>1489</v>
      </c>
      <c r="B490" s="4">
        <v>46132</v>
      </c>
      <c r="C490" t="s">
        <v>36</v>
      </c>
      <c r="D490" t="s">
        <v>58</v>
      </c>
      <c r="E490">
        <v>5</v>
      </c>
      <c r="F490">
        <v>12000</v>
      </c>
      <c r="G490" t="s">
        <v>80</v>
      </c>
      <c r="H490" t="s">
        <v>79</v>
      </c>
      <c r="I490" t="s">
        <v>85</v>
      </c>
      <c r="J490">
        <v>60000</v>
      </c>
      <c r="K490" t="str">
        <f>_xlfn.XLOOKUP(Sales_Data[[#This Row],[Product_ID]],products!A:A,products!B:B,"Not Found")</f>
        <v>Printer</v>
      </c>
      <c r="L490" t="str">
        <f>_xlfn.XLOOKUP(Sales_Data[[#This Row],[Product_ID]],products!A:A,products!C:C,"Not Found")</f>
        <v>Electronics</v>
      </c>
      <c r="M490" t="str">
        <f>_xlfn.XLOOKUP(C490,customers!A:A,customers!B:B,"Not Found")</f>
        <v>Akash Jain</v>
      </c>
      <c r="N490" t="str">
        <f>_xlfn.XLOOKUP(C489,customers!A:A,customers!C:C,"Not Found")</f>
        <v>Indore</v>
      </c>
      <c r="O490" t="str">
        <f>IF(Sales_Data[[#This Row],[Total_Sales]]&gt;=50000,"High","Low")</f>
        <v>High</v>
      </c>
    </row>
    <row r="491" spans="1:15" x14ac:dyDescent="0.3">
      <c r="A491">
        <v>1490</v>
      </c>
      <c r="B491" s="4">
        <v>46042</v>
      </c>
      <c r="C491" t="s">
        <v>32</v>
      </c>
      <c r="D491" t="s">
        <v>66</v>
      </c>
      <c r="E491">
        <v>8</v>
      </c>
      <c r="F491">
        <v>30000</v>
      </c>
      <c r="G491" t="s">
        <v>89</v>
      </c>
      <c r="H491" t="s">
        <v>84</v>
      </c>
      <c r="I491" t="s">
        <v>85</v>
      </c>
      <c r="J491">
        <v>240000</v>
      </c>
      <c r="K491" t="str">
        <f>_xlfn.XLOOKUP(Sales_Data[[#This Row],[Product_ID]],products!A:A,products!B:B,"Not Found")</f>
        <v>Smartphone</v>
      </c>
      <c r="L491" t="str">
        <f>_xlfn.XLOOKUP(Sales_Data[[#This Row],[Product_ID]],products!A:A,products!C:C,"Not Found")</f>
        <v>Electronics</v>
      </c>
      <c r="M491" t="str">
        <f>_xlfn.XLOOKUP(C491,customers!A:A,customers!B:B,"Not Found")</f>
        <v>Sahil Khan</v>
      </c>
      <c r="N491" t="str">
        <f>_xlfn.XLOOKUP(C490,customers!A:A,customers!C:C,"Not Found")</f>
        <v>Nashik</v>
      </c>
      <c r="O491" t="str">
        <f>IF(Sales_Data[[#This Row],[Total_Sales]]&gt;=50000,"High","Low")</f>
        <v>High</v>
      </c>
    </row>
    <row r="492" spans="1:15" x14ac:dyDescent="0.3">
      <c r="A492">
        <v>1491</v>
      </c>
      <c r="B492" s="4">
        <v>46168</v>
      </c>
      <c r="C492" t="s">
        <v>24</v>
      </c>
      <c r="D492" t="s">
        <v>46</v>
      </c>
      <c r="E492">
        <v>3</v>
      </c>
      <c r="F492">
        <v>55000</v>
      </c>
      <c r="G492" t="s">
        <v>82</v>
      </c>
      <c r="H492" t="s">
        <v>76</v>
      </c>
      <c r="I492" t="s">
        <v>85</v>
      </c>
      <c r="J492">
        <v>165000</v>
      </c>
      <c r="K492" t="str">
        <f>_xlfn.XLOOKUP(Sales_Data[[#This Row],[Product_ID]],products!A:A,products!B:B,"Not Found")</f>
        <v>Laptop</v>
      </c>
      <c r="L492" t="str">
        <f>_xlfn.XLOOKUP(Sales_Data[[#This Row],[Product_ID]],products!A:A,products!C:C,"Not Found")</f>
        <v>Electronics</v>
      </c>
      <c r="M492" t="str">
        <f>_xlfn.XLOOKUP(C492,customers!A:A,customers!B:B,"Not Found")</f>
        <v>Pooja Deshmukh</v>
      </c>
      <c r="N492" t="str">
        <f>_xlfn.XLOOKUP(C491,customers!A:A,customers!C:C,"Not Found")</f>
        <v>Pune</v>
      </c>
      <c r="O492" t="str">
        <f>IF(Sales_Data[[#This Row],[Total_Sales]]&gt;=50000,"High","Low")</f>
        <v>High</v>
      </c>
    </row>
    <row r="493" spans="1:15" x14ac:dyDescent="0.3">
      <c r="A493">
        <v>1492</v>
      </c>
      <c r="B493" s="4">
        <v>46169</v>
      </c>
      <c r="C493" t="s">
        <v>40</v>
      </c>
      <c r="D493" t="s">
        <v>49</v>
      </c>
      <c r="E493">
        <v>2</v>
      </c>
      <c r="F493">
        <v>2500</v>
      </c>
      <c r="G493" t="s">
        <v>75</v>
      </c>
      <c r="H493" t="s">
        <v>84</v>
      </c>
      <c r="I493" t="s">
        <v>77</v>
      </c>
      <c r="J493">
        <v>5000</v>
      </c>
      <c r="K493" t="str">
        <f>_xlfn.XLOOKUP(Sales_Data[[#This Row],[Product_ID]],products!A:A,products!B:B,"Not Found")</f>
        <v>Keyboard</v>
      </c>
      <c r="L493" t="str">
        <f>_xlfn.XLOOKUP(Sales_Data[[#This Row],[Product_ID]],products!A:A,products!C:C,"Not Found")</f>
        <v>Accessories</v>
      </c>
      <c r="M493" t="str">
        <f>_xlfn.XLOOKUP(C493,customers!A:A,customers!B:B,"Not Found")</f>
        <v>Nitin More</v>
      </c>
      <c r="N493" t="str">
        <f>_xlfn.XLOOKUP(C492,customers!A:A,customers!C:C,"Not Found")</f>
        <v>Aurangabad</v>
      </c>
      <c r="O493" t="str">
        <f>IF(Sales_Data[[#This Row],[Total_Sales]]&gt;=50000,"High","Low")</f>
        <v>Low</v>
      </c>
    </row>
    <row r="494" spans="1:15" x14ac:dyDescent="0.3">
      <c r="A494">
        <v>1493</v>
      </c>
      <c r="B494" s="4">
        <v>46026</v>
      </c>
      <c r="C494" t="s">
        <v>38</v>
      </c>
      <c r="D494" t="s">
        <v>46</v>
      </c>
      <c r="E494">
        <v>4</v>
      </c>
      <c r="F494">
        <v>55000</v>
      </c>
      <c r="G494" t="s">
        <v>78</v>
      </c>
      <c r="H494" t="s">
        <v>88</v>
      </c>
      <c r="I494" t="s">
        <v>85</v>
      </c>
      <c r="J494">
        <v>220000</v>
      </c>
      <c r="K494" t="str">
        <f>_xlfn.XLOOKUP(Sales_Data[[#This Row],[Product_ID]],products!A:A,products!B:B,"Not Found")</f>
        <v>Laptop</v>
      </c>
      <c r="L494" t="str">
        <f>_xlfn.XLOOKUP(Sales_Data[[#This Row],[Product_ID]],products!A:A,products!C:C,"Not Found")</f>
        <v>Electronics</v>
      </c>
      <c r="M494" t="str">
        <f>_xlfn.XLOOKUP(C494,customers!A:A,customers!B:B,"Not Found")</f>
        <v>Komal Pawar</v>
      </c>
      <c r="N494" t="str">
        <f>_xlfn.XLOOKUP(C493,customers!A:A,customers!C:C,"Not Found")</f>
        <v>Nagpur</v>
      </c>
      <c r="O494" t="str">
        <f>IF(Sales_Data[[#This Row],[Total_Sales]]&gt;=50000,"High","Low")</f>
        <v>High</v>
      </c>
    </row>
    <row r="495" spans="1:15" x14ac:dyDescent="0.3">
      <c r="A495">
        <v>1494</v>
      </c>
      <c r="B495" s="4">
        <v>46061</v>
      </c>
      <c r="C495" t="s">
        <v>40</v>
      </c>
      <c r="D495" t="s">
        <v>60</v>
      </c>
      <c r="E495">
        <v>3</v>
      </c>
      <c r="F495">
        <v>22000</v>
      </c>
      <c r="G495" t="s">
        <v>78</v>
      </c>
      <c r="H495" t="s">
        <v>84</v>
      </c>
      <c r="I495" t="s">
        <v>81</v>
      </c>
      <c r="J495">
        <v>66000</v>
      </c>
      <c r="K495" t="str">
        <f>_xlfn.XLOOKUP(Sales_Data[[#This Row],[Product_ID]],products!A:A,products!B:B,"Not Found")</f>
        <v>Tablet</v>
      </c>
      <c r="L495" t="str">
        <f>_xlfn.XLOOKUP(Sales_Data[[#This Row],[Product_ID]],products!A:A,products!C:C,"Not Found")</f>
        <v>Electronics</v>
      </c>
      <c r="M495" t="str">
        <f>_xlfn.XLOOKUP(C495,customers!A:A,customers!B:B,"Not Found")</f>
        <v>Nitin More</v>
      </c>
      <c r="N495" t="str">
        <f>_xlfn.XLOOKUP(C494,customers!A:A,customers!C:C,"Not Found")</f>
        <v>Indore</v>
      </c>
      <c r="O495" t="str">
        <f>IF(Sales_Data[[#This Row],[Total_Sales]]&gt;=50000,"High","Low")</f>
        <v>High</v>
      </c>
    </row>
    <row r="496" spans="1:15" x14ac:dyDescent="0.3">
      <c r="A496">
        <v>1495</v>
      </c>
      <c r="B496" s="4">
        <v>46086</v>
      </c>
      <c r="C496" t="s">
        <v>18</v>
      </c>
      <c r="D496" t="s">
        <v>54</v>
      </c>
      <c r="E496">
        <v>7</v>
      </c>
      <c r="F496">
        <v>15000</v>
      </c>
      <c r="G496" t="s">
        <v>86</v>
      </c>
      <c r="H496" t="s">
        <v>83</v>
      </c>
      <c r="I496" t="s">
        <v>85</v>
      </c>
      <c r="J496">
        <v>105000</v>
      </c>
      <c r="K496" t="str">
        <f>_xlfn.XLOOKUP(Sales_Data[[#This Row],[Product_ID]],products!A:A,products!B:B,"Not Found")</f>
        <v>Monitor</v>
      </c>
      <c r="L496" t="str">
        <f>_xlfn.XLOOKUP(Sales_Data[[#This Row],[Product_ID]],products!A:A,products!C:C,"Not Found")</f>
        <v>Electronics</v>
      </c>
      <c r="M496" t="str">
        <f>_xlfn.XLOOKUP(C496,customers!A:A,customers!B:B,"Not Found")</f>
        <v>Neha Gupta</v>
      </c>
      <c r="N496" t="str">
        <f>_xlfn.XLOOKUP(C495,customers!A:A,customers!C:C,"Not Found")</f>
        <v>Nagpur</v>
      </c>
      <c r="O496" t="str">
        <f>IF(Sales_Data[[#This Row],[Total_Sales]]&gt;=50000,"High","Low")</f>
        <v>High</v>
      </c>
    </row>
    <row r="497" spans="1:15" x14ac:dyDescent="0.3">
      <c r="A497">
        <v>1496</v>
      </c>
      <c r="B497" s="4">
        <v>46118</v>
      </c>
      <c r="C497" t="s">
        <v>30</v>
      </c>
      <c r="D497" t="s">
        <v>49</v>
      </c>
      <c r="E497">
        <v>2</v>
      </c>
      <c r="F497">
        <v>2500</v>
      </c>
      <c r="G497" t="s">
        <v>80</v>
      </c>
      <c r="H497" t="s">
        <v>79</v>
      </c>
      <c r="I497" t="s">
        <v>87</v>
      </c>
      <c r="J497">
        <v>5000</v>
      </c>
      <c r="K497" t="str">
        <f>_xlfn.XLOOKUP(Sales_Data[[#This Row],[Product_ID]],products!A:A,products!B:B,"Not Found")</f>
        <v>Keyboard</v>
      </c>
      <c r="L497" t="str">
        <f>_xlfn.XLOOKUP(Sales_Data[[#This Row],[Product_ID]],products!A:A,products!C:C,"Not Found")</f>
        <v>Accessories</v>
      </c>
      <c r="M497" t="str">
        <f>_xlfn.XLOOKUP(C497,customers!A:A,customers!B:B,"Not Found")</f>
        <v>Anjali Kulkarni</v>
      </c>
      <c r="N497" t="str">
        <f>_xlfn.XLOOKUP(C496,customers!A:A,customers!C:C,"Not Found")</f>
        <v>Indore</v>
      </c>
      <c r="O497" t="str">
        <f>IF(Sales_Data[[#This Row],[Total_Sales]]&gt;=50000,"High","Low")</f>
        <v>Low</v>
      </c>
    </row>
    <row r="498" spans="1:15" x14ac:dyDescent="0.3">
      <c r="A498">
        <v>1497</v>
      </c>
      <c r="B498" s="4">
        <v>46155</v>
      </c>
      <c r="C498" t="s">
        <v>36</v>
      </c>
      <c r="D498" t="s">
        <v>54</v>
      </c>
      <c r="E498">
        <v>1</v>
      </c>
      <c r="F498">
        <v>15000</v>
      </c>
      <c r="G498" t="s">
        <v>89</v>
      </c>
      <c r="H498" t="s">
        <v>79</v>
      </c>
      <c r="I498" t="s">
        <v>81</v>
      </c>
      <c r="J498">
        <v>15000</v>
      </c>
      <c r="K498" t="str">
        <f>_xlfn.XLOOKUP(Sales_Data[[#This Row],[Product_ID]],products!A:A,products!B:B,"Not Found")</f>
        <v>Monitor</v>
      </c>
      <c r="L498" t="str">
        <f>_xlfn.XLOOKUP(Sales_Data[[#This Row],[Product_ID]],products!A:A,products!C:C,"Not Found")</f>
        <v>Electronics</v>
      </c>
      <c r="M498" t="str">
        <f>_xlfn.XLOOKUP(C498,customers!A:A,customers!B:B,"Not Found")</f>
        <v>Akash Jain</v>
      </c>
      <c r="N498" t="str">
        <f>_xlfn.XLOOKUP(C497,customers!A:A,customers!C:C,"Not Found")</f>
        <v>Nagpur</v>
      </c>
      <c r="O498" t="str">
        <f>IF(Sales_Data[[#This Row],[Total_Sales]]&gt;=50000,"High","Low")</f>
        <v>Low</v>
      </c>
    </row>
    <row r="499" spans="1:15" x14ac:dyDescent="0.3">
      <c r="A499">
        <v>1498</v>
      </c>
      <c r="B499" s="4">
        <v>46102</v>
      </c>
      <c r="C499" t="s">
        <v>36</v>
      </c>
      <c r="D499" t="s">
        <v>56</v>
      </c>
      <c r="E499">
        <v>6</v>
      </c>
      <c r="F499">
        <v>3500</v>
      </c>
      <c r="G499" t="s">
        <v>78</v>
      </c>
      <c r="H499" t="s">
        <v>84</v>
      </c>
      <c r="I499" t="s">
        <v>81</v>
      </c>
      <c r="J499">
        <v>21000</v>
      </c>
      <c r="K499" t="str">
        <f>_xlfn.XLOOKUP(Sales_Data[[#This Row],[Product_ID]],products!A:A,products!B:B,"Not Found")</f>
        <v>Headphones</v>
      </c>
      <c r="L499" t="str">
        <f>_xlfn.XLOOKUP(Sales_Data[[#This Row],[Product_ID]],products!A:A,products!C:C,"Not Found")</f>
        <v>Accessories</v>
      </c>
      <c r="M499" t="str">
        <f>_xlfn.XLOOKUP(C499,customers!A:A,customers!B:B,"Not Found")</f>
        <v>Akash Jain</v>
      </c>
      <c r="N499" t="str">
        <f>_xlfn.XLOOKUP(C498,customers!A:A,customers!C:C,"Not Found")</f>
        <v>Nashik</v>
      </c>
      <c r="O499" t="str">
        <f>IF(Sales_Data[[#This Row],[Total_Sales]]&gt;=50000,"High","Low")</f>
        <v>Low</v>
      </c>
    </row>
    <row r="500" spans="1:15" x14ac:dyDescent="0.3">
      <c r="A500">
        <v>1499</v>
      </c>
      <c r="B500" s="4">
        <v>46074</v>
      </c>
      <c r="C500" t="s">
        <v>18</v>
      </c>
      <c r="D500" t="s">
        <v>46</v>
      </c>
      <c r="E500">
        <v>5</v>
      </c>
      <c r="F500">
        <v>55000</v>
      </c>
      <c r="G500" t="s">
        <v>80</v>
      </c>
      <c r="H500" t="s">
        <v>83</v>
      </c>
      <c r="I500" t="s">
        <v>87</v>
      </c>
      <c r="J500">
        <v>275000</v>
      </c>
      <c r="K500" t="str">
        <f>_xlfn.XLOOKUP(Sales_Data[[#This Row],[Product_ID]],products!A:A,products!B:B,"Not Found")</f>
        <v>Laptop</v>
      </c>
      <c r="L500" t="str">
        <f>_xlfn.XLOOKUP(Sales_Data[[#This Row],[Product_ID]],products!A:A,products!C:C,"Not Found")</f>
        <v>Electronics</v>
      </c>
      <c r="M500" t="str">
        <f>_xlfn.XLOOKUP(C500,customers!A:A,customers!B:B,"Not Found")</f>
        <v>Neha Gupta</v>
      </c>
      <c r="N500" t="str">
        <f>_xlfn.XLOOKUP(C499,customers!A:A,customers!C:C,"Not Found")</f>
        <v>Nashik</v>
      </c>
      <c r="O500" t="str">
        <f>IF(Sales_Data[[#This Row],[Total_Sales]]&gt;=50000,"High","Low")</f>
        <v>High</v>
      </c>
    </row>
    <row r="501" spans="1:15" x14ac:dyDescent="0.3">
      <c r="A501">
        <v>1500</v>
      </c>
      <c r="B501" s="4">
        <v>46174</v>
      </c>
      <c r="C501" t="s">
        <v>18</v>
      </c>
      <c r="D501" t="s">
        <v>62</v>
      </c>
      <c r="E501">
        <v>8</v>
      </c>
      <c r="F501">
        <v>3000</v>
      </c>
      <c r="G501" t="s">
        <v>75</v>
      </c>
      <c r="H501" t="s">
        <v>84</v>
      </c>
      <c r="I501" t="s">
        <v>87</v>
      </c>
      <c r="J501">
        <v>24000</v>
      </c>
      <c r="K501" t="str">
        <f>_xlfn.XLOOKUP(Sales_Data[[#This Row],[Product_ID]],products!A:A,products!B:B,"Not Found")</f>
        <v>Webcam</v>
      </c>
      <c r="L501" t="str">
        <f>_xlfn.XLOOKUP(Sales_Data[[#This Row],[Product_ID]],products!A:A,products!C:C,"Not Found")</f>
        <v>Accessories</v>
      </c>
      <c r="M501" t="str">
        <f>_xlfn.XLOOKUP(C501,customers!A:A,customers!B:B,"Not Found")</f>
        <v>Neha Gupta</v>
      </c>
      <c r="N501" t="str">
        <f>_xlfn.XLOOKUP(C500,customers!A:A,customers!C:C,"Not Found")</f>
        <v>Indore</v>
      </c>
      <c r="O501" t="str">
        <f>IF(Sales_Data[[#This Row],[Total_Sales]]&gt;=50000,"High","Low")</f>
        <v>Low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3917-EA70-42E8-9A2A-5DC5A64D8CC8}">
  <dimension ref="B1:N20"/>
  <sheetViews>
    <sheetView tabSelected="1" zoomScale="72" workbookViewId="0">
      <selection activeCell="S20" sqref="S20"/>
    </sheetView>
  </sheetViews>
  <sheetFormatPr defaultRowHeight="14.4" x14ac:dyDescent="0.3"/>
  <cols>
    <col min="1" max="1" width="14.44140625" bestFit="1" customWidth="1"/>
    <col min="2" max="3" width="15" bestFit="1" customWidth="1"/>
    <col min="4" max="4" width="14.109375" bestFit="1" customWidth="1"/>
    <col min="5" max="5" width="10.77734375" bestFit="1" customWidth="1"/>
    <col min="7" max="7" width="12.44140625" bestFit="1" customWidth="1"/>
    <col min="8" max="8" width="16.5546875" bestFit="1" customWidth="1"/>
    <col min="9" max="9" width="11.77734375" customWidth="1"/>
    <col min="10" max="10" width="10.88671875" bestFit="1" customWidth="1"/>
    <col min="11" max="11" width="10.77734375" bestFit="1" customWidth="1"/>
    <col min="12" max="12" width="10.88671875" bestFit="1" customWidth="1"/>
    <col min="13" max="13" width="11.5546875" bestFit="1" customWidth="1"/>
    <col min="14" max="14" width="14.44140625" bestFit="1" customWidth="1"/>
  </cols>
  <sheetData>
    <row r="1" spans="2:14" ht="21" x14ac:dyDescent="0.4">
      <c r="G1" s="9" t="s">
        <v>97</v>
      </c>
      <c r="H1" s="10"/>
      <c r="I1" s="10"/>
    </row>
    <row r="4" spans="2:14" x14ac:dyDescent="0.3">
      <c r="B4" s="5" t="s">
        <v>91</v>
      </c>
      <c r="E4" s="5" t="s">
        <v>98</v>
      </c>
      <c r="I4" s="5" t="s">
        <v>99</v>
      </c>
      <c r="N4" s="6" t="s">
        <v>100</v>
      </c>
    </row>
    <row r="5" spans="2:14" x14ac:dyDescent="0.3">
      <c r="B5" s="11">
        <f>SUM(Sales!J:J)</f>
        <v>30649600</v>
      </c>
      <c r="E5" s="5">
        <f>COUNTA(Sales!A:A)-1</f>
        <v>500</v>
      </c>
      <c r="I5" s="11">
        <f>SUM(Sales!E:E)</f>
        <v>2259</v>
      </c>
      <c r="N5" s="13">
        <f>AVERAGE(Sales!J:J)</f>
        <v>61299.199999999997</v>
      </c>
    </row>
    <row r="8" spans="2:14" x14ac:dyDescent="0.3">
      <c r="C8" s="7" t="s">
        <v>93</v>
      </c>
      <c r="G8" s="8" t="s">
        <v>101</v>
      </c>
      <c r="H8" s="8"/>
      <c r="M8" s="8" t="s">
        <v>94</v>
      </c>
      <c r="N8" s="8"/>
    </row>
    <row r="10" spans="2:14" x14ac:dyDescent="0.3">
      <c r="C10" s="1" t="s">
        <v>2</v>
      </c>
      <c r="D10" t="s">
        <v>91</v>
      </c>
      <c r="G10" s="1" t="s">
        <v>95</v>
      </c>
      <c r="H10" t="s">
        <v>96</v>
      </c>
      <c r="M10" s="1" t="s">
        <v>44</v>
      </c>
      <c r="N10" t="s">
        <v>96</v>
      </c>
    </row>
    <row r="11" spans="2:14" x14ac:dyDescent="0.3">
      <c r="C11" s="2" t="s">
        <v>26</v>
      </c>
      <c r="D11" s="14">
        <v>1113700</v>
      </c>
      <c r="G11" s="2" t="s">
        <v>78</v>
      </c>
      <c r="H11" s="14">
        <v>5801900</v>
      </c>
      <c r="M11" s="2" t="s">
        <v>51</v>
      </c>
      <c r="N11" s="14">
        <v>2654600</v>
      </c>
    </row>
    <row r="12" spans="2:14" x14ac:dyDescent="0.3">
      <c r="C12" s="2" t="s">
        <v>23</v>
      </c>
      <c r="D12" s="14">
        <v>1756200</v>
      </c>
      <c r="G12" s="2" t="s">
        <v>75</v>
      </c>
      <c r="H12" s="14">
        <v>5375400</v>
      </c>
      <c r="M12" s="2" t="s">
        <v>48</v>
      </c>
      <c r="N12" s="14">
        <v>27995000</v>
      </c>
    </row>
    <row r="13" spans="2:14" x14ac:dyDescent="0.3">
      <c r="C13" s="2" t="s">
        <v>17</v>
      </c>
      <c r="D13" s="14">
        <v>2038000</v>
      </c>
      <c r="G13" s="2" t="s">
        <v>89</v>
      </c>
      <c r="H13" s="14">
        <v>4760400</v>
      </c>
      <c r="M13" s="2" t="s">
        <v>92</v>
      </c>
      <c r="N13" s="12">
        <v>30649600</v>
      </c>
    </row>
    <row r="14" spans="2:14" x14ac:dyDescent="0.3">
      <c r="C14" s="2" t="s">
        <v>20</v>
      </c>
      <c r="D14" s="14">
        <v>6132400</v>
      </c>
      <c r="G14" s="2" t="s">
        <v>82</v>
      </c>
      <c r="H14" s="14">
        <v>5420600</v>
      </c>
    </row>
    <row r="15" spans="2:14" x14ac:dyDescent="0.3">
      <c r="C15" s="2" t="s">
        <v>11</v>
      </c>
      <c r="D15" s="14">
        <v>4738400</v>
      </c>
      <c r="G15" s="2" t="s">
        <v>80</v>
      </c>
      <c r="H15" s="14">
        <v>5164500</v>
      </c>
    </row>
    <row r="16" spans="2:14" x14ac:dyDescent="0.3">
      <c r="C16" s="2" t="s">
        <v>5</v>
      </c>
      <c r="D16" s="14">
        <v>5038900</v>
      </c>
      <c r="G16" s="2" t="s">
        <v>86</v>
      </c>
      <c r="H16" s="14">
        <v>4126800</v>
      </c>
    </row>
    <row r="17" spans="3:8" x14ac:dyDescent="0.3">
      <c r="C17" s="2" t="s">
        <v>14</v>
      </c>
      <c r="D17" s="14">
        <v>3276600</v>
      </c>
      <c r="G17" s="2" t="s">
        <v>92</v>
      </c>
      <c r="H17">
        <v>30649600</v>
      </c>
    </row>
    <row r="18" spans="3:8" x14ac:dyDescent="0.3">
      <c r="C18" s="2" t="s">
        <v>8</v>
      </c>
      <c r="D18" s="14">
        <v>3876700</v>
      </c>
    </row>
    <row r="19" spans="3:8" x14ac:dyDescent="0.3">
      <c r="C19" s="2" t="s">
        <v>29</v>
      </c>
      <c r="D19" s="14">
        <v>2678700</v>
      </c>
    </row>
    <row r="20" spans="3:8" x14ac:dyDescent="0.3">
      <c r="C20" s="2" t="s">
        <v>92</v>
      </c>
      <c r="D20">
        <v>30649600</v>
      </c>
    </row>
  </sheetData>
  <mergeCells count="3">
    <mergeCell ref="G8:H8"/>
    <mergeCell ref="M8:N8"/>
    <mergeCell ref="G1:I1"/>
  </mergeCells>
  <conditionalFormatting pivot="1" sqref="D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11:D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11:H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N11:N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D14C95-E271-4EF0-831C-2DF6E05CAA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customers</vt:lpstr>
      <vt:lpstr>Sales</vt:lpstr>
      <vt:lpstr>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Tekade</dc:creator>
  <cp:lastModifiedBy>Aishwarya Tekade</cp:lastModifiedBy>
  <dcterms:created xsi:type="dcterms:W3CDTF">2026-09-27T07:48:28Z</dcterms:created>
  <dcterms:modified xsi:type="dcterms:W3CDTF">2026-09-27T12:24:43Z</dcterms:modified>
</cp:coreProperties>
</file>